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<sst xmlns="http://schemas.openxmlformats.org/spreadsheetml/2006/main" count="7305" uniqueCount="283">
  <si>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</si>
  <si>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</si>
  <si>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</si>
  <si>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</si>
  <si>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</si>
  <si>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</si>
  <si>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</si>
  <si>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</si>
  <si>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</si>
  <si>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</si>
  <si>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</si>
  <si>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</si>
  <si>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</si>
  <si>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</si>
  <si>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</si>
  <si>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</si>
  <si>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</si>
  <si>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</si>
  <si>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</si>
  <si>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</si>
  <si>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</si>
  <si>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</si>
  <si>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</si>
  <si>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</si>
  <si>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</si>
  <si>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</si>
  <si>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</si>
  <si>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</si>
  <si>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</si>
  <si>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</si>
  <si>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</si>
  <si>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</si>
  <si>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</si>
  <si>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</si>
  <si>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</si>
  <si>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</si>
  <si>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</si>
  <si>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</si>
  <si>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</si>
  <si>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Marketing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</si>
  <si>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</si>
  <si>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</si>
  <si>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</si>
  <si>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</si>
  <si>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</si>
  <si>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</si>
  <si>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</si>
  <si>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</si>
  <si>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</si>
  <si>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</si>
  <si>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</si>
  <si>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</si>
  <si>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</si>
  <si>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</si>
  <si>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</si>
  <si>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</si>
  <si>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</si>
  <si>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</si>
  <si>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</si>
  <si>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</si>
  <si>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</si>
  <si>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</si>
  <si>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</si>
  <si>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</si>
  <si>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</si>
  <si>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</si>
  <si>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</si>
  <si>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</si>
  <si>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</si>
  <si>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</si>
  <si>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</si>
  <si>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</si>
  <si>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</si>
  <si>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</si>
  <si>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</si>
  <si>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</si>
  <si>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</si>
  <si>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</si>
  <si>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</si>
  <si>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</si>
  <si>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</si>
  <si>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</si>
  <si>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</si>
  <si>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</si>
  <si>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</si>
  <si>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</si>
  <si>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</si>
  <si>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</si>
  <si>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</si>
  <si>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</si>
  <si>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</si>
  <si>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</si>
  <si>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</si>
  <si>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</si>
  <si>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</si>
  <si>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</si>
  <si>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</si>
  <si>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</si>
  <si>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</si>
  <si>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</si>
  <si>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</si>
  <si>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</si>
  <si>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</si>
  <si>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</si>
  <si>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</si>
  <si>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</si>
  <si>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</si>
  <si>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</si>
  <si>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</si>
  <si>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</si>
  <si>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</si>
  <si>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</si>
  <si>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</si>
  <si>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</si>
  <si>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</si>
  <si>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</si>
  <si>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</si>
  <si>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</si>
  <si>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</si>
  <si>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</si>
  <si>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</si>
  <si>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</si>
  <si>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</si>
  <si>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</si>
  <si>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</si>
  <si>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</si>
  <si>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</si>
  <si>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</si>
  <si>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</si>
  <si>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</si>
  <si>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</si>
  <si>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</si>
  <si>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</si>
  <si>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</si>
  <si>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</si>
  <si>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</si>
  <si>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</si>
  <si>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</si>
  <si>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</si>
  <si>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</si>
  <si>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</si>
  <si>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</si>
  <si>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</si>
  <si>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</si>
  <si>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</si>
  <si>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</si>
  <si>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</si>
  <si>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</si>
  <si>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</si>
  <si>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</si>
  <si>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</si>
  <si>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</si>
  <si>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</si>
  <si>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</si>
  <si>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</si>
  <si>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</si>
  <si>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</si>
  <si>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</si>
  <si>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</si>
  <si>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</si>
  <si>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</si>
  <si>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</si>
  <si>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</si>
  <si>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</si>
  <si>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>8º Class. 1ª Div.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</si>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</sst>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1" fillId="0" fontId="10" numFmtId="0" xfId="0" applyAlignment="1" applyBorder="1" applyFont="1">
      <alignment horizontal="center" vertical="bottom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5" numFmtId="0" xfId="0" applyAlignment="1" applyFont="1">
      <alignment horizontal="left" readingOrder="0"/>
    </xf>
    <xf borderId="8" fillId="9" fontId="19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0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1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22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1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0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17</v>
      </c>
      <c r="Q4" s="18">
        <f t="shared" si="4"/>
        <v>4</v>
      </c>
      <c r="R4" s="20">
        <f t="shared" si="5"/>
        <v>1</v>
      </c>
      <c r="S4" s="20">
        <f t="shared" si="6"/>
        <v>3</v>
      </c>
      <c r="T4" s="18">
        <f t="shared" si="7"/>
        <v>180</v>
      </c>
      <c r="U4" s="20">
        <f t="shared" si="8"/>
        <v>170</v>
      </c>
      <c r="V4" s="18">
        <f t="shared" si="9"/>
        <v>10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33</v>
      </c>
      <c r="AG4" s="23">
        <v>22.0</v>
      </c>
      <c r="AH4" s="23">
        <v>6.0</v>
      </c>
      <c r="AI4" s="24">
        <v>2.0</v>
      </c>
      <c r="AJ4" s="23">
        <v>0.0</v>
      </c>
      <c r="AK4" s="23">
        <v>175.0</v>
      </c>
      <c r="AL4" s="24">
        <v>119.0</v>
      </c>
      <c r="AM4" s="23">
        <v>56.0</v>
      </c>
      <c r="AN4" s="18"/>
    </row>
    <row r="5" ht="15.75" customHeight="1">
      <c r="A5" s="25"/>
      <c r="B5" s="11">
        <v>45951.0</v>
      </c>
      <c r="C5" s="12" t="s">
        <v>35</v>
      </c>
      <c r="D5" s="13" t="s">
        <v>22</v>
      </c>
      <c r="E5" s="17" t="s">
        <v>36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37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38</v>
      </c>
      <c r="AF5" s="27" t="s">
        <v>39</v>
      </c>
      <c r="AG5" s="23">
        <v>20.0</v>
      </c>
      <c r="AH5" s="23">
        <v>5.0</v>
      </c>
      <c r="AI5" s="24">
        <v>1.0</v>
      </c>
      <c r="AJ5" s="23">
        <v>3.0</v>
      </c>
      <c r="AK5" s="23">
        <v>217.0</v>
      </c>
      <c r="AL5" s="24">
        <v>204.0</v>
      </c>
      <c r="AM5" s="23">
        <v>13.0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36</v>
      </c>
      <c r="AG6" s="23">
        <v>19.0</v>
      </c>
      <c r="AH6" s="23">
        <v>5.0</v>
      </c>
      <c r="AI6" s="24">
        <v>1.0</v>
      </c>
      <c r="AJ6" s="23">
        <v>2.0</v>
      </c>
      <c r="AK6" s="23">
        <v>186.0</v>
      </c>
      <c r="AL6" s="24">
        <v>170.0</v>
      </c>
      <c r="AM6" s="23">
        <v>16.0</v>
      </c>
      <c r="AN6" s="18"/>
    </row>
    <row r="7" ht="15.75" customHeight="1">
      <c r="A7" s="25"/>
      <c r="B7" s="11">
        <v>45953.0</v>
      </c>
      <c r="C7" s="12" t="s">
        <v>35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39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36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25</v>
      </c>
      <c r="AG7" s="23">
        <v>17.0</v>
      </c>
      <c r="AH7" s="23">
        <v>4.0</v>
      </c>
      <c r="AI7" s="24">
        <v>1.0</v>
      </c>
      <c r="AJ7" s="23">
        <v>3.0</v>
      </c>
      <c r="AK7" s="23">
        <v>180.0</v>
      </c>
      <c r="AL7" s="24">
        <v>170.0</v>
      </c>
      <c r="AM7" s="23">
        <v>10.0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22</v>
      </c>
      <c r="Q8" s="18">
        <f t="shared" si="4"/>
        <v>6</v>
      </c>
      <c r="R8" s="20">
        <f t="shared" si="5"/>
        <v>2</v>
      </c>
      <c r="S8" s="20">
        <f t="shared" si="6"/>
        <v>0</v>
      </c>
      <c r="T8" s="18">
        <f t="shared" si="7"/>
        <v>175</v>
      </c>
      <c r="U8" s="20">
        <f t="shared" si="8"/>
        <v>119</v>
      </c>
      <c r="V8" s="18">
        <f t="shared" si="9"/>
        <v>56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31</v>
      </c>
      <c r="AG8" s="23">
        <v>17.0</v>
      </c>
      <c r="AH8" s="23">
        <v>3.0</v>
      </c>
      <c r="AI8" s="24">
        <v>2.0</v>
      </c>
      <c r="AJ8" s="23">
        <v>4.0</v>
      </c>
      <c r="AK8" s="23">
        <v>171.0</v>
      </c>
      <c r="AL8" s="24">
        <v>173.0</v>
      </c>
      <c r="AM8" s="23">
        <v>-2.0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43</v>
      </c>
      <c r="AG9" s="23">
        <v>17.0</v>
      </c>
      <c r="AH9" s="23">
        <v>4.0</v>
      </c>
      <c r="AI9" s="24">
        <v>1.0</v>
      </c>
      <c r="AJ9" s="23">
        <v>3.0</v>
      </c>
      <c r="AK9" s="23">
        <v>159.0</v>
      </c>
      <c r="AL9" s="24">
        <v>172.0</v>
      </c>
      <c r="AM9" s="23">
        <v>-13.0</v>
      </c>
      <c r="AN9" s="18"/>
    </row>
    <row r="10" ht="15.75" customHeight="1">
      <c r="A10" s="25"/>
      <c r="B10" s="11">
        <v>45972.0</v>
      </c>
      <c r="C10" s="12" t="s">
        <v>35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40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32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36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39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39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35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36</v>
      </c>
      <c r="F18" s="15">
        <v>32.0</v>
      </c>
      <c r="G18" s="16" t="s">
        <v>24</v>
      </c>
      <c r="H18" s="15">
        <v>27.0</v>
      </c>
      <c r="I18" s="17" t="s">
        <v>39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35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35</v>
      </c>
      <c r="D22" s="12" t="s">
        <v>22</v>
      </c>
      <c r="E22" s="17" t="s">
        <v>33</v>
      </c>
      <c r="F22" s="15">
        <v>22.0</v>
      </c>
      <c r="G22" s="16" t="s">
        <v>24</v>
      </c>
      <c r="H22" s="15">
        <v>19.0</v>
      </c>
      <c r="I22" s="17" t="s">
        <v>25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39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36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35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39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35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36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35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35</v>
      </c>
      <c r="D35" s="12" t="s">
        <v>22</v>
      </c>
      <c r="E35" s="17" t="s">
        <v>39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35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36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35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39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35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35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36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39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35</v>
      </c>
      <c r="D50" s="12" t="s">
        <v>22</v>
      </c>
      <c r="E50" s="17" t="s">
        <v>36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39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5">
        <v>15.0</v>
      </c>
      <c r="G52" s="16" t="s">
        <v>24</v>
      </c>
      <c r="H52" s="15">
        <v>0.0</v>
      </c>
      <c r="I52" s="17" t="s">
        <v>45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5">
        <v>31.0</v>
      </c>
      <c r="G54" s="16" t="s">
        <v>24</v>
      </c>
      <c r="H54" s="15">
        <v>24.0</v>
      </c>
      <c r="I54" s="17" t="s">
        <v>40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36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39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5">
        <v>13.0</v>
      </c>
      <c r="G58" s="16" t="s">
        <v>24</v>
      </c>
      <c r="H58" s="15">
        <v>24.0</v>
      </c>
      <c r="I58" s="17" t="s">
        <v>41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52</v>
      </c>
      <c r="D59" s="12" t="s">
        <v>22</v>
      </c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40</v>
      </c>
      <c r="F60" s="15">
        <v>15.0</v>
      </c>
      <c r="G60" s="16" t="s">
        <v>24</v>
      </c>
      <c r="H60" s="15">
        <v>0.0</v>
      </c>
      <c r="I60" s="17" t="s">
        <v>32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53</v>
      </c>
      <c r="D61" s="12" t="s">
        <v>22</v>
      </c>
      <c r="E61" s="17" t="s">
        <v>36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39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36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26.0</v>
      </c>
      <c r="AH78" s="23">
        <v>8.0</v>
      </c>
      <c r="AI78" s="24">
        <v>1.0</v>
      </c>
      <c r="AJ78" s="24">
        <v>0.0</v>
      </c>
      <c r="AK78" s="23">
        <v>224.0</v>
      </c>
      <c r="AL78" s="24">
        <v>148.0</v>
      </c>
      <c r="AM78" s="23">
        <v>76.0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17</v>
      </c>
      <c r="Q79" s="18">
        <f t="shared" si="14"/>
        <v>4</v>
      </c>
      <c r="R79" s="20">
        <f t="shared" si="15"/>
        <v>0</v>
      </c>
      <c r="S79" s="20">
        <f t="shared" si="16"/>
        <v>5</v>
      </c>
      <c r="T79" s="18">
        <f t="shared" si="17"/>
        <v>192</v>
      </c>
      <c r="U79" s="20">
        <f t="shared" si="18"/>
        <v>185</v>
      </c>
      <c r="V79" s="18">
        <f t="shared" si="19"/>
        <v>7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26.0</v>
      </c>
      <c r="AH79" s="23">
        <v>8.0</v>
      </c>
      <c r="AI79" s="24">
        <v>1.0</v>
      </c>
      <c r="AJ79" s="24">
        <v>0.0</v>
      </c>
      <c r="AK79" s="23">
        <v>203.0</v>
      </c>
      <c r="AL79" s="24">
        <v>163.0</v>
      </c>
      <c r="AM79" s="23">
        <v>40.0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26</v>
      </c>
      <c r="Q80" s="18">
        <f t="shared" si="14"/>
        <v>8</v>
      </c>
      <c r="R80" s="20">
        <f t="shared" si="15"/>
        <v>1</v>
      </c>
      <c r="S80" s="20">
        <f t="shared" si="16"/>
        <v>0</v>
      </c>
      <c r="T80" s="18">
        <f t="shared" si="17"/>
        <v>224</v>
      </c>
      <c r="U80" s="20">
        <f t="shared" si="18"/>
        <v>148</v>
      </c>
      <c r="V80" s="18">
        <f t="shared" si="19"/>
        <v>76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35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13</v>
      </c>
      <c r="Q82" s="18">
        <f t="shared" si="14"/>
        <v>2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151</v>
      </c>
      <c r="V82" s="18">
        <f t="shared" si="19"/>
        <v>-38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66</v>
      </c>
      <c r="AG82" s="23">
        <v>19.0</v>
      </c>
      <c r="AH82" s="23">
        <v>5.0</v>
      </c>
      <c r="AI82" s="24">
        <v>0.0</v>
      </c>
      <c r="AJ82" s="24">
        <v>4.0</v>
      </c>
      <c r="AK82" s="23">
        <v>143.0</v>
      </c>
      <c r="AL82" s="24">
        <v>151.0</v>
      </c>
      <c r="AM82" s="23">
        <v>-8.0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19</v>
      </c>
      <c r="Q83" s="18">
        <f t="shared" si="14"/>
        <v>5</v>
      </c>
      <c r="R83" s="20">
        <f t="shared" si="15"/>
        <v>0</v>
      </c>
      <c r="S83" s="20">
        <f t="shared" si="16"/>
        <v>4</v>
      </c>
      <c r="T83" s="18">
        <f t="shared" si="17"/>
        <v>143</v>
      </c>
      <c r="U83" s="20">
        <f t="shared" si="18"/>
        <v>151</v>
      </c>
      <c r="V83" s="18">
        <f t="shared" si="19"/>
        <v>-8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60</v>
      </c>
      <c r="AG83" s="23">
        <v>18.0</v>
      </c>
      <c r="AH83" s="23">
        <v>4.0</v>
      </c>
      <c r="AI83" s="24">
        <v>0.0</v>
      </c>
      <c r="AJ83" s="24">
        <v>6.0</v>
      </c>
      <c r="AK83" s="23">
        <v>198.0</v>
      </c>
      <c r="AL83" s="24">
        <v>225.0</v>
      </c>
      <c r="AM83" s="23">
        <v>-27.0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158</v>
      </c>
      <c r="U84" s="20">
        <f t="shared" si="18"/>
        <v>158</v>
      </c>
      <c r="V84" s="18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62</v>
      </c>
      <c r="AG84" s="23">
        <v>17.0</v>
      </c>
      <c r="AH84" s="23">
        <v>4.0</v>
      </c>
      <c r="AI84" s="24">
        <v>0.0</v>
      </c>
      <c r="AJ84" s="24">
        <v>5.0</v>
      </c>
      <c r="AK84" s="23">
        <v>192.0</v>
      </c>
      <c r="AL84" s="24">
        <v>185.0</v>
      </c>
      <c r="AM84" s="23">
        <v>7.0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26</v>
      </c>
      <c r="Q85" s="18">
        <f t="shared" si="14"/>
        <v>8</v>
      </c>
      <c r="R85" s="20">
        <f t="shared" si="15"/>
        <v>1</v>
      </c>
      <c r="S85" s="20">
        <f t="shared" si="16"/>
        <v>0</v>
      </c>
      <c r="T85" s="18">
        <f t="shared" si="17"/>
        <v>203</v>
      </c>
      <c r="U85" s="20">
        <f t="shared" si="18"/>
        <v>163</v>
      </c>
      <c r="V85" s="18">
        <f t="shared" si="19"/>
        <v>40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64</v>
      </c>
      <c r="AG85" s="23">
        <v>17.0</v>
      </c>
      <c r="AH85" s="23">
        <v>4.0</v>
      </c>
      <c r="AI85" s="24">
        <v>0.0</v>
      </c>
      <c r="AJ85" s="24">
        <v>5.0</v>
      </c>
      <c r="AK85" s="23">
        <v>158.0</v>
      </c>
      <c r="AL85" s="24">
        <v>158.0</v>
      </c>
      <c r="AM85" s="23">
        <v>0.0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67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35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13.0</v>
      </c>
      <c r="AH87" s="48">
        <v>2.0</v>
      </c>
      <c r="AI87" s="49">
        <v>0.0</v>
      </c>
      <c r="AJ87" s="49">
        <v>7.0</v>
      </c>
      <c r="AK87" s="48">
        <v>113.0</v>
      </c>
      <c r="AL87" s="49">
        <v>151.0</v>
      </c>
      <c r="AM87" s="48">
        <v>-38.0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35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35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35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35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13">
        <v>22.0</v>
      </c>
      <c r="G104" s="16" t="s">
        <v>24</v>
      </c>
      <c r="H104" s="13">
        <v>15.0</v>
      </c>
      <c r="I104" s="44" t="s">
        <v>68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35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35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43"/>
      <c r="C116" s="12"/>
      <c r="D116" s="39" t="s">
        <v>22</v>
      </c>
      <c r="E116" s="17" t="s">
        <v>59</v>
      </c>
      <c r="F116" s="13"/>
      <c r="G116" s="16" t="s">
        <v>24</v>
      </c>
      <c r="H116" s="13"/>
      <c r="I116" s="44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35</v>
      </c>
      <c r="D118" s="12" t="s">
        <v>22</v>
      </c>
      <c r="E118" s="44" t="s">
        <v>60</v>
      </c>
      <c r="F118" s="13">
        <v>13.0</v>
      </c>
      <c r="G118" s="16" t="s">
        <v>24</v>
      </c>
      <c r="H118" s="13">
        <v>20.0</v>
      </c>
      <c r="I118" s="44" t="s">
        <v>66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4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35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65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35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4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35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35</v>
      </c>
      <c r="D135" s="12" t="s">
        <v>22</v>
      </c>
      <c r="E135" s="44" t="s">
        <v>66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13">
        <v>19.0</v>
      </c>
      <c r="G136" s="16" t="s">
        <v>24</v>
      </c>
      <c r="H136" s="13">
        <v>19.0</v>
      </c>
      <c r="I136" s="44" t="s">
        <v>59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13">
        <v>21.0</v>
      </c>
      <c r="G137" s="16" t="s">
        <v>24</v>
      </c>
      <c r="H137" s="13">
        <v>20.0</v>
      </c>
      <c r="I137" s="44" t="s">
        <v>58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13">
        <v>15.0</v>
      </c>
      <c r="G138" s="31" t="s">
        <v>24</v>
      </c>
      <c r="H138" s="13">
        <v>24.0</v>
      </c>
      <c r="I138" s="44" t="s">
        <v>62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65</v>
      </c>
      <c r="F139" s="13">
        <v>22.0</v>
      </c>
      <c r="G139" s="16" t="s">
        <v>24</v>
      </c>
      <c r="H139" s="13">
        <v>16.0</v>
      </c>
      <c r="I139" s="44" t="s">
        <v>67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5">
        <v>46154.0</v>
      </c>
      <c r="C140" s="12" t="s">
        <v>51</v>
      </c>
      <c r="D140" s="12" t="s">
        <v>22</v>
      </c>
      <c r="E140" s="44" t="s">
        <v>64</v>
      </c>
      <c r="F140" s="31"/>
      <c r="G140" s="16" t="s">
        <v>24</v>
      </c>
      <c r="H140" s="31"/>
      <c r="I140" s="44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5">
        <v>46154.0</v>
      </c>
      <c r="C141" s="12" t="s">
        <v>55</v>
      </c>
      <c r="D141" s="12" t="s">
        <v>22</v>
      </c>
      <c r="E141" s="44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3"/>
      <c r="C150" s="12"/>
      <c r="D150" s="12"/>
      <c r="E150" s="44" t="s">
        <v>73</v>
      </c>
      <c r="F150" s="31"/>
      <c r="G150" s="16" t="s">
        <v>24</v>
      </c>
      <c r="H150" s="31"/>
      <c r="I150" s="44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/>
      <c r="C151" s="12"/>
      <c r="D151" s="12"/>
      <c r="E151" s="44" t="s">
        <v>75</v>
      </c>
      <c r="F151" s="31"/>
      <c r="G151" s="16" t="s">
        <v>24</v>
      </c>
      <c r="H151" s="31"/>
      <c r="I151" s="44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/>
      <c r="C152" s="12"/>
      <c r="D152" s="12"/>
      <c r="E152" s="44" t="s">
        <v>77</v>
      </c>
      <c r="F152" s="31"/>
      <c r="G152" s="16" t="s">
        <v>24</v>
      </c>
      <c r="H152" s="31"/>
      <c r="I152" s="44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/>
      <c r="C153" s="12"/>
      <c r="D153" s="12"/>
      <c r="E153" s="44" t="s">
        <v>79</v>
      </c>
      <c r="F153" s="31"/>
      <c r="G153" s="16" t="s">
        <v>24</v>
      </c>
      <c r="H153" s="31"/>
      <c r="I153" s="44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81</v>
      </c>
      <c r="B154" s="43"/>
      <c r="C154" s="12"/>
      <c r="D154" s="12"/>
      <c r="E154" s="44" t="s">
        <v>82</v>
      </c>
      <c r="F154" s="31"/>
      <c r="G154" s="16" t="s">
        <v>24</v>
      </c>
      <c r="H154" s="31"/>
      <c r="I154" s="44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6"/>
      <c r="C155" s="31"/>
      <c r="D155" s="12"/>
      <c r="E155" s="51" t="s">
        <v>84</v>
      </c>
      <c r="F155" s="13"/>
      <c r="G155" s="16" t="s">
        <v>24</v>
      </c>
      <c r="H155" s="13"/>
      <c r="I155" s="44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86</v>
      </c>
      <c r="B156" s="30"/>
      <c r="C156" s="31"/>
      <c r="D156" s="12"/>
      <c r="E156" s="44" t="s">
        <v>87</v>
      </c>
      <c r="F156" s="31"/>
      <c r="G156" s="16" t="s">
        <v>24</v>
      </c>
      <c r="H156" s="31"/>
      <c r="I156" s="61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89</v>
      </c>
      <c r="B157" s="30"/>
      <c r="C157" s="31"/>
      <c r="D157" s="12"/>
      <c r="E157" s="44" t="s">
        <v>90</v>
      </c>
      <c r="F157" s="31"/>
      <c r="G157" s="16" t="s">
        <v>24</v>
      </c>
      <c r="H157" s="31"/>
      <c r="I157" s="44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92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3"/>
    </row>
    <row r="3" ht="15.75" customHeight="1">
      <c r="A3" s="65">
        <v>1.0</v>
      </c>
      <c r="B3" s="43">
        <v>46099.0</v>
      </c>
      <c r="C3" s="66" t="s">
        <v>96</v>
      </c>
      <c r="D3" s="12" t="s">
        <v>97</v>
      </c>
      <c r="E3" s="44" t="s">
        <v>40</v>
      </c>
      <c r="F3" s="44">
        <v>8.0</v>
      </c>
      <c r="G3" s="67" t="s">
        <v>24</v>
      </c>
      <c r="H3" s="44">
        <v>10.0</v>
      </c>
      <c r="I3" s="44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40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3"/>
    </row>
    <row r="4" ht="15.75" customHeight="1">
      <c r="A4" s="25"/>
      <c r="B4" s="43">
        <v>46099.0</v>
      </c>
      <c r="C4" s="66" t="s">
        <v>99</v>
      </c>
      <c r="D4" s="12" t="s">
        <v>97</v>
      </c>
      <c r="E4" s="44" t="s">
        <v>32</v>
      </c>
      <c r="F4" s="44">
        <v>13.0</v>
      </c>
      <c r="G4" s="67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37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3"/>
    </row>
    <row r="5" ht="15.75" customHeight="1">
      <c r="A5" s="25"/>
      <c r="B5" s="43">
        <v>45952.0</v>
      </c>
      <c r="C5" s="39" t="s">
        <v>100</v>
      </c>
      <c r="D5" s="71" t="s">
        <v>97</v>
      </c>
      <c r="E5" s="44" t="s">
        <v>64</v>
      </c>
      <c r="F5" s="44">
        <v>6.0</v>
      </c>
      <c r="G5" s="67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38</v>
      </c>
      <c r="AE5" s="70" t="s">
        <v>36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3"/>
    </row>
    <row r="6" ht="15.75" customHeight="1">
      <c r="A6" s="25"/>
      <c r="B6" s="43">
        <v>45952.0</v>
      </c>
      <c r="C6" s="12" t="s">
        <v>55</v>
      </c>
      <c r="D6" s="71" t="s">
        <v>97</v>
      </c>
      <c r="E6" s="44" t="s">
        <v>101</v>
      </c>
      <c r="F6" s="44">
        <v>4.0</v>
      </c>
      <c r="G6" s="67" t="s">
        <v>24</v>
      </c>
      <c r="H6" s="44">
        <v>7.0</v>
      </c>
      <c r="I6" s="44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3"/>
      <c r="X6" s="28" t="s">
        <v>36</v>
      </c>
      <c r="Y6" s="28">
        <v>0.0</v>
      </c>
      <c r="Z6" s="63"/>
      <c r="AA6" s="63"/>
      <c r="AB6" s="63"/>
      <c r="AC6" s="63"/>
      <c r="AD6" s="22" t="s">
        <v>42</v>
      </c>
      <c r="AE6" s="70" t="s">
        <v>40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3"/>
    </row>
    <row r="7" ht="15.75" customHeight="1">
      <c r="A7" s="25"/>
      <c r="B7" s="43">
        <v>45952.0</v>
      </c>
      <c r="C7" s="66" t="s">
        <v>96</v>
      </c>
      <c r="D7" s="71" t="s">
        <v>97</v>
      </c>
      <c r="E7" s="44" t="s">
        <v>61</v>
      </c>
      <c r="F7" s="44">
        <v>3.0</v>
      </c>
      <c r="G7" s="67" t="s">
        <v>24</v>
      </c>
      <c r="H7" s="44">
        <v>8.0</v>
      </c>
      <c r="I7" s="44" t="s">
        <v>36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10</v>
      </c>
      <c r="Q7" s="18">
        <f t="shared" si="4"/>
        <v>5</v>
      </c>
      <c r="R7" s="18">
        <f t="shared" si="5"/>
        <v>0</v>
      </c>
      <c r="S7" s="20">
        <f t="shared" si="6"/>
        <v>6</v>
      </c>
      <c r="T7" s="18">
        <f t="shared" si="7"/>
        <v>115</v>
      </c>
      <c r="U7" s="20">
        <f t="shared" si="8"/>
        <v>119</v>
      </c>
      <c r="V7" s="18">
        <f t="shared" si="9"/>
        <v>-4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25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3"/>
    </row>
    <row r="8" ht="15.75" customHeight="1">
      <c r="A8" s="29"/>
      <c r="B8" s="43">
        <v>45952.0</v>
      </c>
      <c r="C8" s="12" t="s">
        <v>99</v>
      </c>
      <c r="D8" s="71" t="s">
        <v>97</v>
      </c>
      <c r="E8" s="44" t="s">
        <v>25</v>
      </c>
      <c r="F8" s="44">
        <v>5.0</v>
      </c>
      <c r="G8" s="67" t="s">
        <v>24</v>
      </c>
      <c r="H8" s="44">
        <v>3.0</v>
      </c>
      <c r="I8" s="44" t="s">
        <v>37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101</v>
      </c>
      <c r="P8" s="18">
        <f t="shared" si="3"/>
        <v>8</v>
      </c>
      <c r="Q8" s="18">
        <f t="shared" si="4"/>
        <v>4</v>
      </c>
      <c r="R8" s="18">
        <f t="shared" si="5"/>
        <v>0</v>
      </c>
      <c r="S8" s="20">
        <f t="shared" si="6"/>
        <v>7</v>
      </c>
      <c r="T8" s="18">
        <f t="shared" si="7"/>
        <v>96</v>
      </c>
      <c r="U8" s="20">
        <f t="shared" si="8"/>
        <v>103</v>
      </c>
      <c r="V8" s="18">
        <f t="shared" si="9"/>
        <v>-7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10.0</v>
      </c>
      <c r="AG8" s="23">
        <v>5.0</v>
      </c>
      <c r="AH8" s="23">
        <v>0.0</v>
      </c>
      <c r="AI8" s="24">
        <v>6.0</v>
      </c>
      <c r="AJ8" s="23">
        <v>115.0</v>
      </c>
      <c r="AK8" s="24">
        <v>119.0</v>
      </c>
      <c r="AL8" s="23">
        <v>-4.0</v>
      </c>
      <c r="AM8" s="63"/>
    </row>
    <row r="9" ht="15.75" customHeight="1">
      <c r="A9" s="65">
        <v>2.0</v>
      </c>
      <c r="B9" s="43">
        <v>45952.0</v>
      </c>
      <c r="C9" s="12" t="s">
        <v>52</v>
      </c>
      <c r="D9" s="71" t="s">
        <v>97</v>
      </c>
      <c r="E9" s="44" t="s">
        <v>98</v>
      </c>
      <c r="F9" s="44">
        <v>4.0</v>
      </c>
      <c r="G9" s="67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3"/>
      <c r="X9" s="69" t="s">
        <v>26</v>
      </c>
      <c r="Y9" s="69" t="s">
        <v>13</v>
      </c>
      <c r="Z9" s="69" t="s">
        <v>93</v>
      </c>
      <c r="AA9" s="69" t="s">
        <v>94</v>
      </c>
      <c r="AB9" s="69" t="s">
        <v>95</v>
      </c>
      <c r="AC9" s="63"/>
      <c r="AD9" s="52">
        <v>7.0</v>
      </c>
      <c r="AE9" s="70" t="s">
        <v>101</v>
      </c>
      <c r="AF9" s="23">
        <v>8.0</v>
      </c>
      <c r="AG9" s="23">
        <v>4.0</v>
      </c>
      <c r="AH9" s="23">
        <v>0.0</v>
      </c>
      <c r="AI9" s="24">
        <v>7.0</v>
      </c>
      <c r="AJ9" s="23">
        <v>96.0</v>
      </c>
      <c r="AK9" s="24">
        <v>103.0</v>
      </c>
      <c r="AL9" s="23">
        <v>-7.0</v>
      </c>
      <c r="AM9" s="63"/>
    </row>
    <row r="10" ht="15.75" customHeight="1">
      <c r="A10" s="25"/>
      <c r="B10" s="43">
        <v>45952.0</v>
      </c>
      <c r="C10" s="66" t="s">
        <v>102</v>
      </c>
      <c r="D10" s="71" t="s">
        <v>97</v>
      </c>
      <c r="E10" s="44" t="s">
        <v>43</v>
      </c>
      <c r="F10" s="44">
        <v>5.0</v>
      </c>
      <c r="G10" s="67" t="s">
        <v>24</v>
      </c>
      <c r="H10" s="44">
        <v>8.0</v>
      </c>
      <c r="I10" s="44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2">
        <v>8.0</v>
      </c>
      <c r="AE10" s="70" t="s">
        <v>61</v>
      </c>
      <c r="AF10" s="23">
        <v>8.0</v>
      </c>
      <c r="AG10" s="23">
        <v>4.0</v>
      </c>
      <c r="AH10" s="23">
        <v>0.0</v>
      </c>
      <c r="AI10" s="24">
        <v>7.0</v>
      </c>
      <c r="AJ10" s="23">
        <v>85.0</v>
      </c>
      <c r="AK10" s="24">
        <v>124.0</v>
      </c>
      <c r="AL10" s="23">
        <v>-39.0</v>
      </c>
      <c r="AM10" s="63"/>
    </row>
    <row r="11" ht="15.75" customHeight="1">
      <c r="A11" s="25"/>
      <c r="B11" s="43">
        <v>45952.0</v>
      </c>
      <c r="C11" s="66" t="s">
        <v>103</v>
      </c>
      <c r="D11" s="71" t="s">
        <v>97</v>
      </c>
      <c r="E11" s="44" t="s">
        <v>33</v>
      </c>
      <c r="F11" s="44">
        <v>13.0</v>
      </c>
      <c r="G11" s="67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104</v>
      </c>
      <c r="AE11" s="74" t="s">
        <v>98</v>
      </c>
      <c r="AF11" s="48">
        <v>6.0</v>
      </c>
      <c r="AG11" s="48">
        <v>3.0</v>
      </c>
      <c r="AH11" s="48">
        <v>0.0</v>
      </c>
      <c r="AI11" s="49">
        <v>8.0</v>
      </c>
      <c r="AJ11" s="48">
        <v>94.0</v>
      </c>
      <c r="AK11" s="49">
        <v>118.0</v>
      </c>
      <c r="AL11" s="48">
        <v>-24.0</v>
      </c>
      <c r="AM11" s="63"/>
    </row>
    <row r="12" ht="15.75" customHeight="1">
      <c r="A12" s="25"/>
      <c r="B12" s="43">
        <v>45952.0</v>
      </c>
      <c r="C12" s="66" t="s">
        <v>53</v>
      </c>
      <c r="D12" s="71" t="s">
        <v>97</v>
      </c>
      <c r="E12" s="44" t="s">
        <v>65</v>
      </c>
      <c r="F12" s="44">
        <v>7.0</v>
      </c>
      <c r="G12" s="67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3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37</v>
      </c>
      <c r="AF12" s="23">
        <v>6.0</v>
      </c>
      <c r="AG12" s="23">
        <v>3.0</v>
      </c>
      <c r="AH12" s="23">
        <v>0.0</v>
      </c>
      <c r="AI12" s="24">
        <v>8.0</v>
      </c>
      <c r="AJ12" s="23">
        <v>93.0</v>
      </c>
      <c r="AK12" s="24">
        <v>118.0</v>
      </c>
      <c r="AL12" s="23">
        <v>-25.0</v>
      </c>
      <c r="AM12" s="63"/>
    </row>
    <row r="13" ht="15.75" customHeight="1">
      <c r="A13" s="25"/>
      <c r="B13" s="11">
        <v>45952.0</v>
      </c>
      <c r="C13" s="66" t="s">
        <v>105</v>
      </c>
      <c r="D13" s="71" t="s">
        <v>97</v>
      </c>
      <c r="E13" s="44" t="s">
        <v>36</v>
      </c>
      <c r="F13" s="44">
        <v>4.0</v>
      </c>
      <c r="G13" s="67" t="s">
        <v>24</v>
      </c>
      <c r="H13" s="44">
        <v>13.0</v>
      </c>
      <c r="I13" s="44" t="s">
        <v>101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36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3"/>
    </row>
    <row r="14" ht="15.75" customHeight="1">
      <c r="A14" s="29"/>
      <c r="B14" s="11">
        <v>45952.0</v>
      </c>
      <c r="C14" s="66" t="s">
        <v>106</v>
      </c>
      <c r="D14" s="71" t="s">
        <v>97</v>
      </c>
      <c r="E14" s="44" t="s">
        <v>37</v>
      </c>
      <c r="F14" s="44">
        <v>9.0</v>
      </c>
      <c r="G14" s="67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107</v>
      </c>
      <c r="D15" s="71" t="s">
        <v>97</v>
      </c>
      <c r="E15" s="44" t="s">
        <v>98</v>
      </c>
      <c r="F15" s="44">
        <v>13.0</v>
      </c>
      <c r="G15" s="67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108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97</v>
      </c>
      <c r="E16" s="44" t="s">
        <v>40</v>
      </c>
      <c r="F16" s="44">
        <v>8.0</v>
      </c>
      <c r="G16" s="67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109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110</v>
      </c>
      <c r="D17" s="71" t="s">
        <v>97</v>
      </c>
      <c r="E17" s="44" t="s">
        <v>32</v>
      </c>
      <c r="F17" s="44">
        <v>12.0</v>
      </c>
      <c r="G17" s="67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100</v>
      </c>
      <c r="D18" s="71" t="s">
        <v>97</v>
      </c>
      <c r="E18" s="44" t="s">
        <v>64</v>
      </c>
      <c r="F18" s="44">
        <v>10.0</v>
      </c>
      <c r="G18" s="67" t="s">
        <v>24</v>
      </c>
      <c r="H18" s="44">
        <v>12.0</v>
      </c>
      <c r="I18" s="44" t="s">
        <v>36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55</v>
      </c>
      <c r="D19" s="71" t="s">
        <v>97</v>
      </c>
      <c r="E19" s="44" t="s">
        <v>101</v>
      </c>
      <c r="F19" s="44">
        <v>8.0</v>
      </c>
      <c r="G19" s="67" t="s">
        <v>24</v>
      </c>
      <c r="H19" s="44">
        <v>10.0</v>
      </c>
      <c r="I19" s="44" t="s">
        <v>37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81" t="s">
        <v>111</v>
      </c>
      <c r="AE19" s="82"/>
      <c r="AF19" s="82"/>
      <c r="AG19" s="82"/>
      <c r="AH19" s="82"/>
      <c r="AI19" s="82"/>
      <c r="AJ19" s="82"/>
      <c r="AK19" s="82"/>
      <c r="AL19" s="83"/>
      <c r="AM19" s="63"/>
    </row>
    <row r="20" ht="15.75" customHeight="1">
      <c r="A20" s="29"/>
      <c r="B20" s="11">
        <v>46008.0</v>
      </c>
      <c r="C20" s="66" t="s">
        <v>96</v>
      </c>
      <c r="D20" s="71" t="s">
        <v>97</v>
      </c>
      <c r="E20" s="44" t="s">
        <v>25</v>
      </c>
      <c r="F20" s="44">
        <v>7.0</v>
      </c>
      <c r="G20" s="67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84"/>
      <c r="AE20" s="85"/>
      <c r="AF20" s="85"/>
      <c r="AG20" s="85"/>
      <c r="AH20" s="85"/>
      <c r="AI20" s="85"/>
      <c r="AJ20" s="85"/>
      <c r="AK20" s="85"/>
      <c r="AL20" s="86"/>
      <c r="AM20" s="63"/>
    </row>
    <row r="21" ht="15.75" customHeight="1">
      <c r="A21" s="65">
        <v>4.0</v>
      </c>
      <c r="B21" s="11">
        <v>46008.0</v>
      </c>
      <c r="C21" s="12" t="s">
        <v>99</v>
      </c>
      <c r="D21" s="71" t="s">
        <v>97</v>
      </c>
      <c r="E21" s="44" t="s">
        <v>43</v>
      </c>
      <c r="F21" s="44">
        <v>12.0</v>
      </c>
      <c r="G21" s="67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5" t="s">
        <v>11</v>
      </c>
      <c r="AE21" s="5" t="s">
        <v>12</v>
      </c>
      <c r="AF21" s="5" t="s">
        <v>13</v>
      </c>
      <c r="AG21" s="5" t="s">
        <v>14</v>
      </c>
      <c r="AH21" s="5" t="s">
        <v>15</v>
      </c>
      <c r="AI21" s="5" t="s">
        <v>16</v>
      </c>
      <c r="AJ21" s="5" t="s">
        <v>93</v>
      </c>
      <c r="AK21" s="5" t="s">
        <v>94</v>
      </c>
      <c r="AL21" s="5" t="s">
        <v>95</v>
      </c>
      <c r="AM21" s="63"/>
    </row>
    <row r="22" ht="15.75" customHeight="1">
      <c r="A22" s="25"/>
      <c r="B22" s="11">
        <v>46008.0</v>
      </c>
      <c r="C22" s="12" t="s">
        <v>52</v>
      </c>
      <c r="D22" s="71" t="s">
        <v>97</v>
      </c>
      <c r="E22" s="44" t="s">
        <v>33</v>
      </c>
      <c r="F22" s="44">
        <v>11.0</v>
      </c>
      <c r="G22" s="67" t="s">
        <v>24</v>
      </c>
      <c r="H22" s="44">
        <v>10.0</v>
      </c>
      <c r="I22" s="44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22" t="s">
        <v>29</v>
      </c>
      <c r="AE22" s="70" t="s">
        <v>32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3"/>
    </row>
    <row r="23" ht="15.75" customHeight="1">
      <c r="A23" s="25"/>
      <c r="B23" s="11">
        <v>46008.0</v>
      </c>
      <c r="C23" s="66" t="s">
        <v>102</v>
      </c>
      <c r="D23" s="71" t="s">
        <v>97</v>
      </c>
      <c r="E23" s="44" t="s">
        <v>65</v>
      </c>
      <c r="F23" s="44">
        <v>8.0</v>
      </c>
      <c r="G23" s="67" t="s">
        <v>24</v>
      </c>
      <c r="H23" s="44">
        <v>13.0</v>
      </c>
      <c r="I23" s="44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22" t="s">
        <v>34</v>
      </c>
      <c r="AE23" s="70" t="s">
        <v>33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3"/>
    </row>
    <row r="24" ht="15.75" customHeight="1">
      <c r="A24" s="25"/>
      <c r="B24" s="11">
        <v>46008.0</v>
      </c>
      <c r="C24" s="66" t="s">
        <v>103</v>
      </c>
      <c r="D24" s="71" t="s">
        <v>97</v>
      </c>
      <c r="E24" s="44" t="s">
        <v>36</v>
      </c>
      <c r="F24" s="44">
        <v>10.0</v>
      </c>
      <c r="G24" s="67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22" t="s">
        <v>38</v>
      </c>
      <c r="AE24" s="70" t="s">
        <v>36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3"/>
    </row>
    <row r="25" ht="15.75" customHeight="1">
      <c r="A25" s="25"/>
      <c r="B25" s="11">
        <v>46008.0</v>
      </c>
      <c r="C25" s="66" t="s">
        <v>53</v>
      </c>
      <c r="D25" s="71" t="s">
        <v>97</v>
      </c>
      <c r="E25" s="44" t="s">
        <v>37</v>
      </c>
      <c r="F25" s="44">
        <v>8.0</v>
      </c>
      <c r="G25" s="67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22" t="s">
        <v>42</v>
      </c>
      <c r="AE25" s="70" t="s">
        <v>40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3"/>
    </row>
    <row r="26" ht="15.75" customHeight="1">
      <c r="A26" s="29"/>
      <c r="B26" s="11">
        <v>46008.0</v>
      </c>
      <c r="C26" s="66" t="s">
        <v>105</v>
      </c>
      <c r="D26" s="71" t="s">
        <v>97</v>
      </c>
      <c r="E26" s="44" t="s">
        <v>61</v>
      </c>
      <c r="F26" s="44">
        <v>11.0</v>
      </c>
      <c r="G26" s="67" t="s">
        <v>24</v>
      </c>
      <c r="H26" s="44">
        <v>10.0</v>
      </c>
      <c r="I26" s="44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22" t="s">
        <v>44</v>
      </c>
      <c r="AE26" s="70" t="s">
        <v>25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97</v>
      </c>
      <c r="E27" s="44" t="s">
        <v>43</v>
      </c>
      <c r="F27" s="44">
        <v>8.0</v>
      </c>
      <c r="G27" s="67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22" t="s">
        <v>47</v>
      </c>
      <c r="AE27" s="70" t="s">
        <v>43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3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4" t="s">
        <v>98</v>
      </c>
      <c r="F28" s="44">
        <v>8.0</v>
      </c>
      <c r="G28" s="67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52">
        <v>7.0</v>
      </c>
      <c r="AE28" s="70" t="s">
        <v>61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3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4" t="s">
        <v>40</v>
      </c>
      <c r="F29" s="44">
        <v>8.0</v>
      </c>
      <c r="G29" s="67" t="s">
        <v>24</v>
      </c>
      <c r="H29" s="44">
        <v>12.0</v>
      </c>
      <c r="I29" s="44" t="s">
        <v>36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52">
        <v>8.0</v>
      </c>
      <c r="AE29" s="70" t="s">
        <v>101</v>
      </c>
      <c r="AF29" s="23">
        <v>8.0</v>
      </c>
      <c r="AG29" s="23">
        <v>4.0</v>
      </c>
      <c r="AH29" s="23">
        <v>0.0</v>
      </c>
      <c r="AI29" s="24">
        <v>7.0</v>
      </c>
      <c r="AJ29" s="23">
        <v>96.0</v>
      </c>
      <c r="AK29" s="24">
        <v>103.0</v>
      </c>
      <c r="AL29" s="23">
        <v>-7.0</v>
      </c>
      <c r="AM29" s="63"/>
    </row>
    <row r="30" ht="15.75" customHeight="1">
      <c r="A30" s="25"/>
      <c r="B30" s="11">
        <v>46072.0</v>
      </c>
      <c r="C30" s="12" t="s">
        <v>55</v>
      </c>
      <c r="D30" s="12" t="s">
        <v>97</v>
      </c>
      <c r="E30" s="44" t="s">
        <v>32</v>
      </c>
      <c r="F30" s="44">
        <v>10.0</v>
      </c>
      <c r="G30" s="67" t="s">
        <v>24</v>
      </c>
      <c r="H30" s="44">
        <v>9.0</v>
      </c>
      <c r="I30" s="44" t="s">
        <v>37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73" t="s">
        <v>104</v>
      </c>
      <c r="AE30" s="74" t="s">
        <v>37</v>
      </c>
      <c r="AF30" s="48">
        <v>6.0</v>
      </c>
      <c r="AG30" s="48">
        <v>3.0</v>
      </c>
      <c r="AH30" s="48">
        <v>0.0</v>
      </c>
      <c r="AI30" s="49">
        <v>8.0</v>
      </c>
      <c r="AJ30" s="48">
        <v>93.0</v>
      </c>
      <c r="AK30" s="49">
        <v>118.0</v>
      </c>
      <c r="AL30" s="48">
        <v>-25.0</v>
      </c>
      <c r="AM30" s="63"/>
    </row>
    <row r="31" ht="15.75" customHeight="1">
      <c r="A31" s="25"/>
      <c r="B31" s="11">
        <v>46072.0</v>
      </c>
      <c r="C31" s="66" t="s">
        <v>96</v>
      </c>
      <c r="D31" s="12" t="s">
        <v>97</v>
      </c>
      <c r="E31" s="44" t="s">
        <v>64</v>
      </c>
      <c r="F31" s="44">
        <v>3.0</v>
      </c>
      <c r="G31" s="67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76">
        <v>10.0</v>
      </c>
      <c r="AE31" s="70" t="s">
        <v>98</v>
      </c>
      <c r="AF31" s="23">
        <v>6.0</v>
      </c>
      <c r="AG31" s="23">
        <v>3.0</v>
      </c>
      <c r="AH31" s="23">
        <v>0.0</v>
      </c>
      <c r="AI31" s="24">
        <v>8.0</v>
      </c>
      <c r="AJ31" s="23">
        <v>94.0</v>
      </c>
      <c r="AK31" s="24">
        <v>118.0</v>
      </c>
      <c r="AL31" s="23">
        <v>-24.0</v>
      </c>
      <c r="AM31" s="63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4" t="s">
        <v>25</v>
      </c>
      <c r="F32" s="44">
        <v>9.0</v>
      </c>
      <c r="G32" s="67" t="s">
        <v>24</v>
      </c>
      <c r="H32" s="44">
        <v>8.0</v>
      </c>
      <c r="I32" s="44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4">
        <v>11.0</v>
      </c>
      <c r="AE32" s="78" t="s">
        <v>65</v>
      </c>
      <c r="AF32" s="23">
        <v>6.0</v>
      </c>
      <c r="AG32" s="23">
        <v>3.0</v>
      </c>
      <c r="AH32" s="23">
        <v>0.0</v>
      </c>
      <c r="AI32" s="23">
        <v>8.0</v>
      </c>
      <c r="AJ32" s="23">
        <v>84.0</v>
      </c>
      <c r="AK32" s="23">
        <v>126.0</v>
      </c>
      <c r="AL32" s="23">
        <v>-42.0</v>
      </c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97</v>
      </c>
      <c r="E33" s="44" t="s">
        <v>33</v>
      </c>
      <c r="F33" s="44">
        <v>4.0</v>
      </c>
      <c r="G33" s="67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4">
        <v>12.0</v>
      </c>
      <c r="AE33" s="78" t="s">
        <v>64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3"/>
    </row>
    <row r="34" ht="15.75" customHeight="1">
      <c r="A34" s="25"/>
      <c r="B34" s="11">
        <v>46072.0</v>
      </c>
      <c r="C34" s="66" t="s">
        <v>102</v>
      </c>
      <c r="D34" s="12" t="s">
        <v>97</v>
      </c>
      <c r="E34" s="44" t="s">
        <v>65</v>
      </c>
      <c r="F34" s="44">
        <v>6.0</v>
      </c>
      <c r="G34" s="67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5" t="s">
        <v>112</v>
      </c>
      <c r="AG34" s="63"/>
      <c r="AH34" s="63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103</v>
      </c>
      <c r="D35" s="12" t="s">
        <v>97</v>
      </c>
      <c r="E35" s="44" t="s">
        <v>36</v>
      </c>
      <c r="F35" s="44">
        <v>11.0</v>
      </c>
      <c r="G35" s="67" t="s">
        <v>24</v>
      </c>
      <c r="H35" s="44">
        <v>8.0</v>
      </c>
      <c r="I35" s="44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79" t="s">
        <v>109</v>
      </c>
      <c r="AG35" s="63"/>
      <c r="AH35" s="63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53</v>
      </c>
      <c r="D36" s="12" t="s">
        <v>97</v>
      </c>
      <c r="E36" s="44" t="s">
        <v>37</v>
      </c>
      <c r="F36" s="44">
        <v>2.0</v>
      </c>
      <c r="G36" s="67" t="s">
        <v>24</v>
      </c>
      <c r="H36" s="44">
        <v>9.0</v>
      </c>
      <c r="I36" s="44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105</v>
      </c>
      <c r="D37" s="12" t="s">
        <v>97</v>
      </c>
      <c r="E37" s="44" t="s">
        <v>61</v>
      </c>
      <c r="F37" s="44">
        <v>8.0</v>
      </c>
      <c r="G37" s="67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4" t="s">
        <v>101</v>
      </c>
      <c r="F38" s="44">
        <v>10.0</v>
      </c>
      <c r="G38" s="67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4"/>
      <c r="AG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7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4" t="s">
        <v>43</v>
      </c>
      <c r="F40" s="44">
        <v>6.0</v>
      </c>
      <c r="G40" s="67" t="s">
        <v>24</v>
      </c>
      <c r="H40" s="44">
        <v>12.0</v>
      </c>
      <c r="I40" s="44" t="s">
        <v>36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4" t="s">
        <v>98</v>
      </c>
      <c r="F41" s="44">
        <v>7.0</v>
      </c>
      <c r="G41" s="67" t="s">
        <v>24</v>
      </c>
      <c r="H41" s="44">
        <v>14.0</v>
      </c>
      <c r="I41" s="44" t="s">
        <v>37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55</v>
      </c>
      <c r="D42" s="12" t="s">
        <v>22</v>
      </c>
      <c r="E42" s="44" t="s">
        <v>40</v>
      </c>
      <c r="F42" s="44">
        <v>14.0</v>
      </c>
      <c r="G42" s="67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96</v>
      </c>
      <c r="D43" s="12" t="s">
        <v>22</v>
      </c>
      <c r="E43" s="44" t="s">
        <v>32</v>
      </c>
      <c r="F43" s="44">
        <v>10.0</v>
      </c>
      <c r="G43" s="67" t="s">
        <v>24</v>
      </c>
      <c r="H43" s="44">
        <v>4.0</v>
      </c>
      <c r="I43" s="44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105</v>
      </c>
      <c r="D44" s="12" t="s">
        <v>22</v>
      </c>
      <c r="E44" s="44" t="s">
        <v>25</v>
      </c>
      <c r="F44" s="44">
        <v>18.0</v>
      </c>
      <c r="G44" s="67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110</v>
      </c>
      <c r="D45" s="12" t="s">
        <v>22</v>
      </c>
      <c r="E45" s="44" t="s">
        <v>65</v>
      </c>
      <c r="F45" s="44">
        <v>5.0</v>
      </c>
      <c r="G45" s="67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102</v>
      </c>
      <c r="D46" s="12" t="s">
        <v>22</v>
      </c>
      <c r="E46" s="44" t="s">
        <v>36</v>
      </c>
      <c r="F46" s="44">
        <v>6.0</v>
      </c>
      <c r="G46" s="67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103</v>
      </c>
      <c r="D47" s="12" t="s">
        <v>22</v>
      </c>
      <c r="E47" s="44" t="s">
        <v>37</v>
      </c>
      <c r="F47" s="44">
        <v>11.0</v>
      </c>
      <c r="G47" s="67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53</v>
      </c>
      <c r="D48" s="12" t="s">
        <v>22</v>
      </c>
      <c r="E48" s="44" t="s">
        <v>61</v>
      </c>
      <c r="F48" s="44">
        <v>14.0</v>
      </c>
      <c r="G48" s="67" t="s">
        <v>24</v>
      </c>
      <c r="H48" s="44">
        <v>8.0</v>
      </c>
      <c r="I48" s="44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99</v>
      </c>
      <c r="D49" s="12" t="s">
        <v>22</v>
      </c>
      <c r="E49" s="44" t="s">
        <v>101</v>
      </c>
      <c r="F49" s="44">
        <v>4.0</v>
      </c>
      <c r="G49" s="67" t="s">
        <v>24</v>
      </c>
      <c r="H49" s="44">
        <v>15.0</v>
      </c>
      <c r="I49" s="44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106</v>
      </c>
      <c r="D50" s="12" t="s">
        <v>22</v>
      </c>
      <c r="E50" s="44" t="s">
        <v>64</v>
      </c>
      <c r="F50" s="44">
        <v>11.0</v>
      </c>
      <c r="G50" s="67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97</v>
      </c>
      <c r="E51" s="44" t="s">
        <v>65</v>
      </c>
      <c r="F51" s="44">
        <v>6.0</v>
      </c>
      <c r="G51" s="67" t="s">
        <v>24</v>
      </c>
      <c r="H51" s="44">
        <v>17.0</v>
      </c>
      <c r="I51" s="44" t="s">
        <v>36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102</v>
      </c>
      <c r="D52" s="12" t="s">
        <v>97</v>
      </c>
      <c r="E52" s="44" t="s">
        <v>33</v>
      </c>
      <c r="F52" s="44">
        <v>11.0</v>
      </c>
      <c r="G52" s="67" t="s">
        <v>24</v>
      </c>
      <c r="H52" s="44">
        <v>7.0</v>
      </c>
      <c r="I52" s="44" t="s">
        <v>37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103</v>
      </c>
      <c r="D53" s="12" t="s">
        <v>97</v>
      </c>
      <c r="E53" s="44" t="s">
        <v>43</v>
      </c>
      <c r="F53" s="44">
        <v>14.0</v>
      </c>
      <c r="G53" s="67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53</v>
      </c>
      <c r="D54" s="12" t="s">
        <v>97</v>
      </c>
      <c r="E54" s="44" t="s">
        <v>98</v>
      </c>
      <c r="F54" s="44">
        <v>8.0</v>
      </c>
      <c r="G54" s="67" t="s">
        <v>24</v>
      </c>
      <c r="H54" s="44">
        <v>10.0</v>
      </c>
      <c r="I54" s="44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105</v>
      </c>
      <c r="D55" s="12" t="s">
        <v>97</v>
      </c>
      <c r="E55" s="44" t="s">
        <v>40</v>
      </c>
      <c r="F55" s="44">
        <v>10.0</v>
      </c>
      <c r="G55" s="67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106</v>
      </c>
      <c r="D56" s="12" t="s">
        <v>97</v>
      </c>
      <c r="E56" s="44" t="s">
        <v>25</v>
      </c>
      <c r="F56" s="44">
        <v>5.0</v>
      </c>
      <c r="G56" s="67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44">
        <v>6.0</v>
      </c>
      <c r="G57" s="67" t="s">
        <v>24</v>
      </c>
      <c r="H57" s="44">
        <v>9.0</v>
      </c>
      <c r="I57" s="44" t="s">
        <v>36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11">
        <v>46148.0</v>
      </c>
      <c r="C58" s="12" t="s">
        <v>110</v>
      </c>
      <c r="D58" s="12" t="s">
        <v>22</v>
      </c>
      <c r="E58" s="44" t="s">
        <v>37</v>
      </c>
      <c r="F58" s="44">
        <v>14.0</v>
      </c>
      <c r="G58" s="67" t="s">
        <v>24</v>
      </c>
      <c r="H58" s="44">
        <v>8.0</v>
      </c>
      <c r="I58" s="44" t="s">
        <v>65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11">
        <v>46148.0</v>
      </c>
      <c r="C59" s="12" t="s">
        <v>100</v>
      </c>
      <c r="D59" s="12" t="s">
        <v>22</v>
      </c>
      <c r="E59" s="44" t="s">
        <v>61</v>
      </c>
      <c r="F59" s="44">
        <v>1.0</v>
      </c>
      <c r="G59" s="67" t="s">
        <v>24</v>
      </c>
      <c r="H59" s="44">
        <v>20.0</v>
      </c>
      <c r="I59" s="44" t="s">
        <v>33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11">
        <v>46148.0</v>
      </c>
      <c r="C60" s="66" t="s">
        <v>55</v>
      </c>
      <c r="D60" s="12" t="s">
        <v>22</v>
      </c>
      <c r="E60" s="44" t="s">
        <v>101</v>
      </c>
      <c r="F60" s="44">
        <v>17.0</v>
      </c>
      <c r="G60" s="67" t="s">
        <v>24</v>
      </c>
      <c r="H60" s="44">
        <v>4.0</v>
      </c>
      <c r="I60" s="44" t="s">
        <v>43</v>
      </c>
      <c r="J60" s="4"/>
      <c r="K60" s="4">
        <f t="shared" si="1"/>
        <v>2</v>
      </c>
      <c r="L60" s="18">
        <f t="shared" si="2"/>
        <v>0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11">
        <v>46148.0</v>
      </c>
      <c r="C61" s="66" t="s">
        <v>96</v>
      </c>
      <c r="D61" s="12" t="s">
        <v>22</v>
      </c>
      <c r="E61" s="44" t="s">
        <v>64</v>
      </c>
      <c r="F61" s="44">
        <v>12.0</v>
      </c>
      <c r="G61" s="67" t="s">
        <v>24</v>
      </c>
      <c r="H61" s="44">
        <v>9.0</v>
      </c>
      <c r="I61" s="44" t="s">
        <v>98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11">
        <v>46148.0</v>
      </c>
      <c r="C62" s="66" t="s">
        <v>99</v>
      </c>
      <c r="D62" s="12" t="s">
        <v>22</v>
      </c>
      <c r="E62" s="44" t="s">
        <v>32</v>
      </c>
      <c r="F62" s="44">
        <v>9.0</v>
      </c>
      <c r="G62" s="67" t="s">
        <v>24</v>
      </c>
      <c r="H62" s="44">
        <v>7.0</v>
      </c>
      <c r="I62" s="44" t="s">
        <v>40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11">
        <v>46148.0</v>
      </c>
      <c r="C63" s="66" t="s">
        <v>52</v>
      </c>
      <c r="D63" s="12" t="s">
        <v>22</v>
      </c>
      <c r="E63" s="44" t="s">
        <v>36</v>
      </c>
      <c r="F63" s="44">
        <v>16.0</v>
      </c>
      <c r="G63" s="67" t="s">
        <v>24</v>
      </c>
      <c r="H63" s="44">
        <v>6.0</v>
      </c>
      <c r="I63" s="44" t="s">
        <v>37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11">
        <v>46148.0</v>
      </c>
      <c r="C64" s="66" t="s">
        <v>102</v>
      </c>
      <c r="D64" s="12" t="s">
        <v>22</v>
      </c>
      <c r="E64" s="44" t="s">
        <v>65</v>
      </c>
      <c r="F64" s="44">
        <v>17.0</v>
      </c>
      <c r="G64" s="67" t="s">
        <v>24</v>
      </c>
      <c r="H64" s="44">
        <v>9.0</v>
      </c>
      <c r="I64" s="44" t="s">
        <v>61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11">
        <v>46148.0</v>
      </c>
      <c r="C65" s="66" t="s">
        <v>103</v>
      </c>
      <c r="D65" s="12" t="s">
        <v>22</v>
      </c>
      <c r="E65" s="44" t="s">
        <v>33</v>
      </c>
      <c r="F65" s="44">
        <v>17.0</v>
      </c>
      <c r="G65" s="67" t="s">
        <v>24</v>
      </c>
      <c r="H65" s="44">
        <v>8.0</v>
      </c>
      <c r="I65" s="44" t="s">
        <v>101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11">
        <v>46148.0</v>
      </c>
      <c r="C66" s="66" t="s">
        <v>53</v>
      </c>
      <c r="D66" s="12" t="s">
        <v>22</v>
      </c>
      <c r="E66" s="44" t="s">
        <v>43</v>
      </c>
      <c r="F66" s="44">
        <v>13.0</v>
      </c>
      <c r="G66" s="67" t="s">
        <v>24</v>
      </c>
      <c r="H66" s="44">
        <v>10.0</v>
      </c>
      <c r="I66" s="44" t="s">
        <v>64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11">
        <v>46148.0</v>
      </c>
      <c r="C67" s="66" t="s">
        <v>105</v>
      </c>
      <c r="D67" s="12" t="s">
        <v>22</v>
      </c>
      <c r="E67" s="44" t="s">
        <v>98</v>
      </c>
      <c r="F67" s="44">
        <v>9.0</v>
      </c>
      <c r="G67" s="67" t="s">
        <v>24</v>
      </c>
      <c r="H67" s="44">
        <v>21.0</v>
      </c>
      <c r="I67" s="44" t="s">
        <v>32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11">
        <v>46148.0</v>
      </c>
      <c r="C68" s="66" t="s">
        <v>106</v>
      </c>
      <c r="D68" s="12" t="s">
        <v>22</v>
      </c>
      <c r="E68" s="44" t="s">
        <v>40</v>
      </c>
      <c r="F68" s="44">
        <v>10.0</v>
      </c>
      <c r="G68" s="67" t="s">
        <v>24</v>
      </c>
      <c r="H68" s="44">
        <v>7.0</v>
      </c>
      <c r="I68" s="44" t="s">
        <v>25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7"/>
      <c r="B69" s="88"/>
      <c r="C69" s="88"/>
      <c r="D69" s="88"/>
      <c r="E69" s="88"/>
      <c r="F69" s="88"/>
      <c r="G69" s="88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7"/>
      <c r="B70" s="88"/>
      <c r="C70" s="88"/>
      <c r="D70" s="88"/>
      <c r="E70" s="88"/>
      <c r="F70" s="88"/>
      <c r="G70" s="88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7"/>
      <c r="B71" s="88"/>
      <c r="C71" s="88"/>
      <c r="D71" s="88"/>
      <c r="E71" s="88"/>
      <c r="F71" s="88"/>
      <c r="G71" s="88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113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3"/>
    </row>
    <row r="74" ht="15.75" customHeight="1">
      <c r="A74" s="10">
        <v>1.0</v>
      </c>
      <c r="B74" s="89">
        <v>46155.0</v>
      </c>
      <c r="C74" s="39" t="s">
        <v>114</v>
      </c>
      <c r="D74" s="12" t="s">
        <v>22</v>
      </c>
      <c r="E74" s="17" t="s">
        <v>31</v>
      </c>
      <c r="F74" s="90"/>
      <c r="G74" s="67" t="s">
        <v>24</v>
      </c>
      <c r="H74" s="90"/>
      <c r="I74" s="91" t="s">
        <v>115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7" t="s">
        <v>115</v>
      </c>
      <c r="P74" s="18">
        <f t="shared" ref="P74:P82" si="13">SUMIF(E$74:E$118,O74,K$74:K$118)+SUMIF(I$74:I$118,O74,L$74:L$118)</f>
        <v>10</v>
      </c>
      <c r="Q74" s="18">
        <f t="shared" ref="Q74:Q82" si="14">COUNTIFS(E$74:E$118,O74,K$74:K$118,2)+COUNTIFS(I$74:I$118,O74,L$74:L$118,2)</f>
        <v>5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1</v>
      </c>
      <c r="T74" s="18">
        <f t="shared" ref="T74:T82" si="17">SUMIF(E$74:E$118,O74,F$74:F$118)+SUMIF(I$74:I$118,O74,H$74:H$118)</f>
        <v>68</v>
      </c>
      <c r="U74" s="20">
        <f t="shared" ref="U74:U82" si="18">SUMIF(E$74:E$118,O74,H$74:H$118)+SUMIF(I$74:I$118,O74,F$74:F$118)</f>
        <v>32</v>
      </c>
      <c r="V74" s="18">
        <f t="shared" ref="V74:V82" si="19">T74-U74</f>
        <v>36</v>
      </c>
      <c r="W74" s="63"/>
      <c r="X74" s="63"/>
      <c r="Y74" s="63"/>
      <c r="Z74" s="63"/>
      <c r="AA74" s="63"/>
      <c r="AB74" s="63"/>
      <c r="AC74" s="63"/>
      <c r="AD74" s="45" t="s">
        <v>29</v>
      </c>
      <c r="AE74" s="70" t="str">
        <f t="array" ref="AE74:AM82">SORT(O74:X82,2,FALSE,9,FALSE,8,FALSE())</f>
        <v>Eng. Civil</v>
      </c>
      <c r="AF74" s="23">
        <v>10.0</v>
      </c>
      <c r="AG74" s="23">
        <v>5.0</v>
      </c>
      <c r="AH74" s="24">
        <v>0.0</v>
      </c>
      <c r="AI74" s="24">
        <v>0.0</v>
      </c>
      <c r="AJ74" s="23">
        <v>76.0</v>
      </c>
      <c r="AK74" s="24">
        <v>30.0</v>
      </c>
      <c r="AL74" s="23">
        <v>46.0</v>
      </c>
      <c r="AM74" s="63"/>
    </row>
    <row r="75" ht="15.75" customHeight="1">
      <c r="A75" s="25"/>
      <c r="B75" s="43">
        <v>45952.0</v>
      </c>
      <c r="C75" s="39" t="s">
        <v>116</v>
      </c>
      <c r="D75" s="71" t="s">
        <v>97</v>
      </c>
      <c r="E75" s="17" t="s">
        <v>117</v>
      </c>
      <c r="F75" s="17">
        <v>0.0</v>
      </c>
      <c r="G75" s="67" t="s">
        <v>24</v>
      </c>
      <c r="H75" s="17">
        <v>9.0</v>
      </c>
      <c r="I75" s="91" t="s">
        <v>118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10</v>
      </c>
      <c r="Q75" s="18">
        <f t="shared" si="14"/>
        <v>5</v>
      </c>
      <c r="R75" s="20">
        <f t="shared" si="15"/>
        <v>0</v>
      </c>
      <c r="S75" s="20">
        <f t="shared" si="16"/>
        <v>0</v>
      </c>
      <c r="T75" s="18">
        <f t="shared" si="17"/>
        <v>76</v>
      </c>
      <c r="U75" s="20">
        <f t="shared" si="18"/>
        <v>30</v>
      </c>
      <c r="V75" s="18">
        <f t="shared" si="19"/>
        <v>46</v>
      </c>
      <c r="W75" s="63"/>
      <c r="X75" s="63"/>
      <c r="Y75" s="63"/>
      <c r="Z75" s="63"/>
      <c r="AA75" s="63"/>
      <c r="AB75" s="63"/>
      <c r="AC75" s="63"/>
      <c r="AD75" s="73" t="s">
        <v>119</v>
      </c>
      <c r="AE75" s="70" t="s">
        <v>115</v>
      </c>
      <c r="AF75" s="23">
        <v>10.0</v>
      </c>
      <c r="AG75" s="23">
        <v>5.0</v>
      </c>
      <c r="AH75" s="24">
        <v>0.0</v>
      </c>
      <c r="AI75" s="24">
        <v>1.0</v>
      </c>
      <c r="AJ75" s="23">
        <v>68.0</v>
      </c>
      <c r="AK75" s="24">
        <v>32.0</v>
      </c>
      <c r="AL75" s="23">
        <v>36.0</v>
      </c>
      <c r="AM75" s="63"/>
    </row>
    <row r="76" ht="15.75" customHeight="1">
      <c r="A76" s="25"/>
      <c r="B76" s="43">
        <v>46148.0</v>
      </c>
      <c r="C76" s="39" t="s">
        <v>106</v>
      </c>
      <c r="D76" s="12" t="s">
        <v>97</v>
      </c>
      <c r="E76" s="17" t="s">
        <v>63</v>
      </c>
      <c r="F76" s="17">
        <v>5.0</v>
      </c>
      <c r="G76" s="67" t="s">
        <v>24</v>
      </c>
      <c r="H76" s="17">
        <v>15.0</v>
      </c>
      <c r="I76" s="91" t="s">
        <v>120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7" t="s">
        <v>117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6</v>
      </c>
      <c r="T76" s="18">
        <f t="shared" si="17"/>
        <v>33</v>
      </c>
      <c r="U76" s="20">
        <f t="shared" si="18"/>
        <v>83</v>
      </c>
      <c r="V76" s="18">
        <f t="shared" si="19"/>
        <v>-50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121</v>
      </c>
      <c r="AF76" s="23">
        <v>8.0</v>
      </c>
      <c r="AG76" s="23">
        <v>4.0</v>
      </c>
      <c r="AH76" s="24">
        <v>0.0</v>
      </c>
      <c r="AI76" s="24">
        <v>2.0</v>
      </c>
      <c r="AJ76" s="23">
        <v>65.0</v>
      </c>
      <c r="AK76" s="24">
        <v>51.0</v>
      </c>
      <c r="AL76" s="23">
        <v>14.0</v>
      </c>
      <c r="AM76" s="63"/>
    </row>
    <row r="77" ht="15.75" customHeight="1">
      <c r="A77" s="25"/>
      <c r="B77" s="43">
        <v>45952.0</v>
      </c>
      <c r="C77" s="12" t="s">
        <v>107</v>
      </c>
      <c r="D77" s="71" t="s">
        <v>97</v>
      </c>
      <c r="E77" s="17" t="s">
        <v>122</v>
      </c>
      <c r="F77" s="17">
        <v>7.0</v>
      </c>
      <c r="G77" s="67" t="s">
        <v>24</v>
      </c>
      <c r="H77" s="17">
        <v>10.0</v>
      </c>
      <c r="I77" s="91" t="s">
        <v>121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5</v>
      </c>
      <c r="T77" s="18">
        <f t="shared" si="17"/>
        <v>31</v>
      </c>
      <c r="U77" s="20">
        <f t="shared" si="18"/>
        <v>80</v>
      </c>
      <c r="V77" s="18">
        <f t="shared" si="19"/>
        <v>-49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118</v>
      </c>
      <c r="AF77" s="23">
        <v>6.0</v>
      </c>
      <c r="AG77" s="23">
        <v>3.0</v>
      </c>
      <c r="AH77" s="24">
        <v>0.0</v>
      </c>
      <c r="AI77" s="24">
        <v>2.0</v>
      </c>
      <c r="AJ77" s="23">
        <v>53.0</v>
      </c>
      <c r="AK77" s="24">
        <v>39.0</v>
      </c>
      <c r="AL77" s="23">
        <v>14.0</v>
      </c>
      <c r="AM77" s="63"/>
    </row>
    <row r="78" ht="15.75" customHeight="1">
      <c r="A78" s="29"/>
      <c r="B78" s="92"/>
      <c r="C78" s="67"/>
      <c r="D78" s="67"/>
      <c r="E78" s="17" t="s">
        <v>59</v>
      </c>
      <c r="F78" s="90"/>
      <c r="G78" s="67" t="s">
        <v>24</v>
      </c>
      <c r="H78" s="90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122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120</v>
      </c>
      <c r="AF78" s="23">
        <v>6.0</v>
      </c>
      <c r="AG78" s="23">
        <v>3.0</v>
      </c>
      <c r="AH78" s="24">
        <v>0.0</v>
      </c>
      <c r="AI78" s="24">
        <v>3.0</v>
      </c>
      <c r="AJ78" s="23">
        <v>66.0</v>
      </c>
      <c r="AK78" s="24">
        <v>60.0</v>
      </c>
      <c r="AL78" s="23">
        <v>6.0</v>
      </c>
      <c r="AM78" s="63"/>
    </row>
    <row r="79" ht="15.75" customHeight="1">
      <c r="A79" s="10">
        <v>2.0</v>
      </c>
      <c r="B79" s="43">
        <v>45952.0</v>
      </c>
      <c r="C79" s="39" t="s">
        <v>51</v>
      </c>
      <c r="D79" s="71" t="s">
        <v>97</v>
      </c>
      <c r="E79" s="17" t="s">
        <v>115</v>
      </c>
      <c r="F79" s="17">
        <v>7.0</v>
      </c>
      <c r="G79" s="67" t="s">
        <v>24</v>
      </c>
      <c r="H79" s="17">
        <v>2.0</v>
      </c>
      <c r="I79" s="91" t="s">
        <v>117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4</v>
      </c>
      <c r="T79" s="18">
        <f t="shared" si="17"/>
        <v>33</v>
      </c>
      <c r="U79" s="20">
        <f t="shared" si="18"/>
        <v>47</v>
      </c>
      <c r="V79" s="18">
        <f t="shared" si="19"/>
        <v>-14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122</v>
      </c>
      <c r="AF79" s="23">
        <v>6.0</v>
      </c>
      <c r="AG79" s="23">
        <v>3.0</v>
      </c>
      <c r="AH79" s="24">
        <v>0.0</v>
      </c>
      <c r="AI79" s="24">
        <v>4.0</v>
      </c>
      <c r="AJ79" s="23">
        <v>77.0</v>
      </c>
      <c r="AK79" s="24">
        <v>81.0</v>
      </c>
      <c r="AL79" s="23">
        <v>-4.0</v>
      </c>
      <c r="AM79" s="63"/>
    </row>
    <row r="80" ht="15.75" customHeight="1">
      <c r="A80" s="25"/>
      <c r="B80" s="93"/>
      <c r="C80" s="94"/>
      <c r="D80" s="94"/>
      <c r="E80" s="17">
        <v>0.0</v>
      </c>
      <c r="F80" s="90"/>
      <c r="G80" s="67" t="s">
        <v>24</v>
      </c>
      <c r="H80" s="90"/>
      <c r="I80" s="91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121</v>
      </c>
      <c r="P80" s="18">
        <f t="shared" si="13"/>
        <v>8</v>
      </c>
      <c r="Q80" s="18">
        <f t="shared" si="14"/>
        <v>4</v>
      </c>
      <c r="R80" s="20">
        <f t="shared" si="15"/>
        <v>0</v>
      </c>
      <c r="S80" s="20">
        <f t="shared" si="16"/>
        <v>2</v>
      </c>
      <c r="T80" s="18">
        <f t="shared" si="17"/>
        <v>65</v>
      </c>
      <c r="U80" s="20">
        <f t="shared" si="18"/>
        <v>51</v>
      </c>
      <c r="V80" s="18">
        <f t="shared" si="19"/>
        <v>14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59</v>
      </c>
      <c r="AF80" s="23">
        <v>2.0</v>
      </c>
      <c r="AG80" s="23">
        <v>1.0</v>
      </c>
      <c r="AH80" s="24">
        <v>0.0</v>
      </c>
      <c r="AI80" s="24">
        <v>4.0</v>
      </c>
      <c r="AJ80" s="23">
        <v>33.0</v>
      </c>
      <c r="AK80" s="24">
        <v>47.0</v>
      </c>
      <c r="AL80" s="23">
        <v>-14.0</v>
      </c>
      <c r="AM80" s="63"/>
    </row>
    <row r="81" ht="15.75" customHeight="1">
      <c r="A81" s="25"/>
      <c r="B81" s="43">
        <v>45952.0</v>
      </c>
      <c r="C81" s="39" t="s">
        <v>110</v>
      </c>
      <c r="D81" s="71" t="s">
        <v>97</v>
      </c>
      <c r="E81" s="91" t="s">
        <v>118</v>
      </c>
      <c r="F81" s="17">
        <v>16.0</v>
      </c>
      <c r="G81" s="67" t="s">
        <v>24</v>
      </c>
      <c r="H81" s="17">
        <v>5.0</v>
      </c>
      <c r="I81" s="91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120</v>
      </c>
      <c r="P81" s="18">
        <f t="shared" si="13"/>
        <v>6</v>
      </c>
      <c r="Q81" s="18">
        <f t="shared" si="14"/>
        <v>3</v>
      </c>
      <c r="R81" s="20">
        <f t="shared" si="15"/>
        <v>0</v>
      </c>
      <c r="S81" s="20">
        <f t="shared" si="16"/>
        <v>3</v>
      </c>
      <c r="T81" s="18">
        <f t="shared" si="17"/>
        <v>66</v>
      </c>
      <c r="U81" s="20">
        <f t="shared" si="18"/>
        <v>60</v>
      </c>
      <c r="V81" s="18">
        <f t="shared" si="19"/>
        <v>6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63</v>
      </c>
      <c r="AF81" s="23">
        <v>2.0</v>
      </c>
      <c r="AG81" s="23">
        <v>1.0</v>
      </c>
      <c r="AH81" s="24">
        <v>0.0</v>
      </c>
      <c r="AI81" s="24">
        <v>5.0</v>
      </c>
      <c r="AJ81" s="23">
        <v>31.0</v>
      </c>
      <c r="AK81" s="24">
        <v>80.0</v>
      </c>
      <c r="AL81" s="23">
        <v>-49.0</v>
      </c>
      <c r="AM81" s="63"/>
    </row>
    <row r="82" ht="15.75" customHeight="1">
      <c r="A82" s="25"/>
      <c r="B82" s="11">
        <v>45952.0</v>
      </c>
      <c r="C82" s="39" t="s">
        <v>100</v>
      </c>
      <c r="D82" s="71" t="s">
        <v>97</v>
      </c>
      <c r="E82" s="17" t="s">
        <v>120</v>
      </c>
      <c r="F82" s="17">
        <v>16.0</v>
      </c>
      <c r="G82" s="67" t="s">
        <v>24</v>
      </c>
      <c r="H82" s="17">
        <v>14.0</v>
      </c>
      <c r="I82" s="91" t="s">
        <v>122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118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117</v>
      </c>
      <c r="AF82" s="23">
        <v>2.0</v>
      </c>
      <c r="AG82" s="23">
        <v>1.0</v>
      </c>
      <c r="AH82" s="23">
        <v>0.0</v>
      </c>
      <c r="AI82" s="23">
        <v>6.0</v>
      </c>
      <c r="AJ82" s="23">
        <v>33.0</v>
      </c>
      <c r="AK82" s="23">
        <v>83.0</v>
      </c>
      <c r="AL82" s="23">
        <v>-50.0</v>
      </c>
      <c r="AM82" s="63"/>
    </row>
    <row r="83" ht="15.75" customHeight="1">
      <c r="A83" s="29"/>
      <c r="B83" s="11">
        <v>45952.0</v>
      </c>
      <c r="C83" s="12" t="s">
        <v>55</v>
      </c>
      <c r="D83" s="71" t="s">
        <v>97</v>
      </c>
      <c r="E83" s="17" t="s">
        <v>121</v>
      </c>
      <c r="F83" s="17">
        <v>6.0</v>
      </c>
      <c r="G83" s="67" t="s">
        <v>24</v>
      </c>
      <c r="H83" s="17">
        <v>8.0</v>
      </c>
      <c r="I83" s="91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123</v>
      </c>
      <c r="AG83" s="95"/>
      <c r="AH83" s="95"/>
      <c r="AI83" s="95"/>
      <c r="AJ83" s="95"/>
      <c r="AK83" s="95"/>
      <c r="AL83" s="95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97</v>
      </c>
      <c r="E84" s="17" t="s">
        <v>63</v>
      </c>
      <c r="F84" s="17">
        <v>4.0</v>
      </c>
      <c r="G84" s="67" t="s">
        <v>24</v>
      </c>
      <c r="H84" s="17">
        <v>15.0</v>
      </c>
      <c r="I84" s="91" t="s">
        <v>115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109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102</v>
      </c>
      <c r="D85" s="71" t="s">
        <v>97</v>
      </c>
      <c r="E85" s="17" t="s">
        <v>117</v>
      </c>
      <c r="F85" s="17">
        <v>2.0</v>
      </c>
      <c r="G85" s="67" t="s">
        <v>24</v>
      </c>
      <c r="H85" s="17">
        <v>21.0</v>
      </c>
      <c r="I85" s="91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53</v>
      </c>
      <c r="D86" s="71" t="s">
        <v>97</v>
      </c>
      <c r="E86" s="17" t="s">
        <v>122</v>
      </c>
      <c r="F86" s="17">
        <v>9.0</v>
      </c>
      <c r="G86" s="67" t="s">
        <v>24</v>
      </c>
      <c r="H86" s="17">
        <v>7.0</v>
      </c>
      <c r="I86" s="91" t="s">
        <v>118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103</v>
      </c>
      <c r="D87" s="71" t="s">
        <v>97</v>
      </c>
      <c r="E87" s="17" t="s">
        <v>59</v>
      </c>
      <c r="F87" s="17">
        <v>7.0</v>
      </c>
      <c r="G87" s="67" t="s">
        <v>24</v>
      </c>
      <c r="H87" s="17">
        <v>8.0</v>
      </c>
      <c r="I87" s="91" t="s">
        <v>120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96"/>
      <c r="C88" s="67"/>
      <c r="D88" s="67"/>
      <c r="E88" s="17">
        <v>0.0</v>
      </c>
      <c r="F88" s="90"/>
      <c r="G88" s="67" t="s">
        <v>24</v>
      </c>
      <c r="H88" s="90"/>
      <c r="I88" s="91" t="s">
        <v>121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96</v>
      </c>
      <c r="D89" s="12" t="s">
        <v>97</v>
      </c>
      <c r="E89" s="17" t="s">
        <v>115</v>
      </c>
      <c r="F89" s="17">
        <v>21.0</v>
      </c>
      <c r="G89" s="67" t="s">
        <v>24</v>
      </c>
      <c r="H89" s="17">
        <v>0.0</v>
      </c>
      <c r="I89" s="91" t="s">
        <v>122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7" t="s">
        <v>24</v>
      </c>
      <c r="H90" s="17">
        <v>0.0</v>
      </c>
      <c r="I90" s="91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7"/>
      <c r="C91" s="94"/>
      <c r="D91" s="94"/>
      <c r="E91" s="17" t="s">
        <v>117</v>
      </c>
      <c r="F91" s="17">
        <v>12.0</v>
      </c>
      <c r="G91" s="67" t="s">
        <v>24</v>
      </c>
      <c r="H91" s="17">
        <v>13.0</v>
      </c>
      <c r="I91" s="91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91" t="s">
        <v>118</v>
      </c>
      <c r="F92" s="90"/>
      <c r="G92" s="67" t="s">
        <v>24</v>
      </c>
      <c r="H92" s="90"/>
      <c r="I92" s="91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120</v>
      </c>
      <c r="F93" s="17">
        <v>8.0</v>
      </c>
      <c r="G93" s="67" t="s">
        <v>24</v>
      </c>
      <c r="H93" s="17">
        <v>12.0</v>
      </c>
      <c r="I93" s="91" t="s">
        <v>121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7" t="s">
        <v>24</v>
      </c>
      <c r="H94" s="17">
        <v>9.0</v>
      </c>
      <c r="I94" s="91" t="s">
        <v>115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53</v>
      </c>
      <c r="D95" s="12" t="s">
        <v>97</v>
      </c>
      <c r="E95" s="17" t="s">
        <v>122</v>
      </c>
      <c r="F95" s="17">
        <v>11.0</v>
      </c>
      <c r="G95" s="67" t="s">
        <v>24</v>
      </c>
      <c r="H95" s="17">
        <v>16.0</v>
      </c>
      <c r="I95" s="91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7" t="s">
        <v>24</v>
      </c>
      <c r="H96" s="17">
        <v>4.0</v>
      </c>
      <c r="I96" s="91" t="s">
        <v>117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121</v>
      </c>
      <c r="F97" s="17">
        <v>15.0</v>
      </c>
      <c r="G97" s="67" t="s">
        <v>24</v>
      </c>
      <c r="H97" s="17">
        <v>9.0</v>
      </c>
      <c r="I97" s="91" t="s">
        <v>118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96"/>
      <c r="C98" s="67"/>
      <c r="D98" s="90"/>
      <c r="E98" s="17">
        <v>0.0</v>
      </c>
      <c r="F98" s="90"/>
      <c r="G98" s="67" t="s">
        <v>24</v>
      </c>
      <c r="H98" s="90"/>
      <c r="I98" s="91" t="s">
        <v>120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11">
        <v>46148.0</v>
      </c>
      <c r="C99" s="39" t="s">
        <v>105</v>
      </c>
      <c r="D99" s="12" t="s">
        <v>97</v>
      </c>
      <c r="E99" s="17" t="s">
        <v>115</v>
      </c>
      <c r="F99" s="17">
        <v>6.0</v>
      </c>
      <c r="G99" s="67" t="s">
        <v>24</v>
      </c>
      <c r="H99" s="17">
        <v>10.0</v>
      </c>
      <c r="I99" s="91" t="s">
        <v>121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91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100</v>
      </c>
      <c r="D101" s="39" t="s">
        <v>22</v>
      </c>
      <c r="E101" s="17" t="s">
        <v>117</v>
      </c>
      <c r="F101" s="17">
        <v>5.0</v>
      </c>
      <c r="G101" s="67" t="s">
        <v>24</v>
      </c>
      <c r="H101" s="17">
        <v>16.0</v>
      </c>
      <c r="I101" s="91" t="s">
        <v>122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7"/>
      <c r="C102" s="94"/>
      <c r="D102" s="98"/>
      <c r="E102" s="17" t="s">
        <v>63</v>
      </c>
      <c r="F102" s="90"/>
      <c r="G102" s="67" t="s">
        <v>24</v>
      </c>
      <c r="H102" s="90"/>
      <c r="I102" s="91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91" t="s">
        <v>118</v>
      </c>
      <c r="F103" s="17">
        <v>12.0</v>
      </c>
      <c r="G103" s="67" t="s">
        <v>24</v>
      </c>
      <c r="H103" s="17">
        <v>10.0</v>
      </c>
      <c r="I103" s="91" t="s">
        <v>120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11">
        <v>46148.0</v>
      </c>
      <c r="C104" s="39" t="s">
        <v>102</v>
      </c>
      <c r="D104" s="12" t="s">
        <v>97</v>
      </c>
      <c r="E104" s="39" t="s">
        <v>120</v>
      </c>
      <c r="F104" s="17">
        <v>9.0</v>
      </c>
      <c r="G104" s="67" t="s">
        <v>24</v>
      </c>
      <c r="H104" s="17">
        <v>10.0</v>
      </c>
      <c r="I104" s="91" t="s">
        <v>115</v>
      </c>
      <c r="J104" s="63"/>
      <c r="K104" s="4">
        <f t="shared" si="11"/>
        <v>0</v>
      </c>
      <c r="L104" s="18">
        <f t="shared" si="12"/>
        <v>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11">
        <v>46148.0</v>
      </c>
      <c r="C105" s="39" t="s">
        <v>103</v>
      </c>
      <c r="D105" s="12" t="s">
        <v>97</v>
      </c>
      <c r="E105" s="39" t="s">
        <v>121</v>
      </c>
      <c r="F105" s="17">
        <v>12.0</v>
      </c>
      <c r="G105" s="67" t="s">
        <v>24</v>
      </c>
      <c r="H105" s="17">
        <v>13.0</v>
      </c>
      <c r="I105" s="91" t="s">
        <v>31</v>
      </c>
      <c r="J105" s="63"/>
      <c r="K105" s="4">
        <f t="shared" si="11"/>
        <v>0</v>
      </c>
      <c r="L105" s="18">
        <f t="shared" si="12"/>
        <v>2</v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11">
        <v>46148.0</v>
      </c>
      <c r="C106" s="39" t="s">
        <v>53</v>
      </c>
      <c r="D106" s="12" t="s">
        <v>97</v>
      </c>
      <c r="E106" s="39" t="s">
        <v>59</v>
      </c>
      <c r="F106" s="17">
        <v>6.0</v>
      </c>
      <c r="G106" s="67" t="s">
        <v>24</v>
      </c>
      <c r="H106" s="17">
        <v>8.0</v>
      </c>
      <c r="I106" s="91" t="s">
        <v>117</v>
      </c>
      <c r="J106" s="63"/>
      <c r="K106" s="4">
        <f t="shared" si="11"/>
        <v>0</v>
      </c>
      <c r="L106" s="18">
        <f t="shared" si="12"/>
        <v>2</v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122</v>
      </c>
      <c r="F107" s="17">
        <v>20.0</v>
      </c>
      <c r="G107" s="67" t="s">
        <v>24</v>
      </c>
      <c r="H107" s="17">
        <v>6.0</v>
      </c>
      <c r="I107" s="91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96"/>
      <c r="C108" s="67"/>
      <c r="D108" s="67"/>
      <c r="E108" s="17">
        <v>0.0</v>
      </c>
      <c r="F108" s="90"/>
      <c r="G108" s="67" t="s">
        <v>24</v>
      </c>
      <c r="H108" s="90"/>
      <c r="I108" s="91" t="s">
        <v>118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99">
        <v>46155.0</v>
      </c>
      <c r="C109" s="66" t="s">
        <v>124</v>
      </c>
      <c r="D109" s="66" t="s">
        <v>22</v>
      </c>
      <c r="E109" s="17" t="s">
        <v>115</v>
      </c>
      <c r="F109" s="90"/>
      <c r="G109" s="67" t="s">
        <v>24</v>
      </c>
      <c r="H109" s="90"/>
      <c r="I109" s="91" t="s">
        <v>118</v>
      </c>
      <c r="J109" s="63"/>
      <c r="K109" s="4" t="str">
        <f t="shared" si="11"/>
        <v/>
      </c>
      <c r="L109" s="18" t="str">
        <f t="shared" si="12"/>
        <v/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99">
        <v>46155.0</v>
      </c>
      <c r="C110" s="66" t="s">
        <v>125</v>
      </c>
      <c r="D110" s="66" t="s">
        <v>22</v>
      </c>
      <c r="E110" s="17" t="s">
        <v>31</v>
      </c>
      <c r="F110" s="90"/>
      <c r="G110" s="67" t="s">
        <v>24</v>
      </c>
      <c r="H110" s="90"/>
      <c r="I110" s="91" t="s">
        <v>120</v>
      </c>
      <c r="J110" s="63"/>
      <c r="K110" s="4" t="str">
        <f t="shared" si="11"/>
        <v/>
      </c>
      <c r="L110" s="18" t="str">
        <f t="shared" si="12"/>
        <v/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99">
        <v>46155.0</v>
      </c>
      <c r="C111" s="66" t="s">
        <v>126</v>
      </c>
      <c r="D111" s="66" t="s">
        <v>22</v>
      </c>
      <c r="E111" s="17" t="s">
        <v>117</v>
      </c>
      <c r="F111" s="90"/>
      <c r="G111" s="67" t="s">
        <v>24</v>
      </c>
      <c r="H111" s="90"/>
      <c r="I111" s="91" t="s">
        <v>121</v>
      </c>
      <c r="J111" s="63"/>
      <c r="K111" s="4" t="str">
        <f t="shared" si="11"/>
        <v/>
      </c>
      <c r="L111" s="18" t="str">
        <f t="shared" si="12"/>
        <v/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99">
        <v>46155.0</v>
      </c>
      <c r="C112" s="66" t="s">
        <v>127</v>
      </c>
      <c r="D112" s="66" t="s">
        <v>22</v>
      </c>
      <c r="E112" s="17" t="s">
        <v>63</v>
      </c>
      <c r="F112" s="90"/>
      <c r="G112" s="67" t="s">
        <v>24</v>
      </c>
      <c r="H112" s="90"/>
      <c r="I112" s="91" t="s">
        <v>59</v>
      </c>
      <c r="J112" s="63"/>
      <c r="K112" s="4" t="str">
        <f t="shared" si="11"/>
        <v/>
      </c>
      <c r="L112" s="18" t="str">
        <f t="shared" si="12"/>
        <v/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96"/>
      <c r="C113" s="67"/>
      <c r="D113" s="67"/>
      <c r="E113" s="17" t="s">
        <v>122</v>
      </c>
      <c r="F113" s="90"/>
      <c r="G113" s="67" t="s">
        <v>24</v>
      </c>
      <c r="H113" s="90"/>
      <c r="I113" s="91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96"/>
      <c r="C114" s="67"/>
      <c r="D114" s="67"/>
      <c r="E114" s="17">
        <v>0.0</v>
      </c>
      <c r="F114" s="90"/>
      <c r="G114" s="67" t="s">
        <v>24</v>
      </c>
      <c r="H114" s="90"/>
      <c r="I114" s="91" t="s">
        <v>115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99">
        <v>46155.0</v>
      </c>
      <c r="C115" s="66" t="s">
        <v>128</v>
      </c>
      <c r="D115" s="66" t="s">
        <v>22</v>
      </c>
      <c r="E115" s="17" t="s">
        <v>118</v>
      </c>
      <c r="F115" s="90"/>
      <c r="G115" s="67" t="s">
        <v>24</v>
      </c>
      <c r="H115" s="90"/>
      <c r="I115" s="91" t="s">
        <v>31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99">
        <v>46155.0</v>
      </c>
      <c r="C116" s="66" t="s">
        <v>129</v>
      </c>
      <c r="D116" s="66" t="s">
        <v>22</v>
      </c>
      <c r="E116" s="17" t="s">
        <v>120</v>
      </c>
      <c r="F116" s="90"/>
      <c r="G116" s="67" t="s">
        <v>24</v>
      </c>
      <c r="H116" s="90"/>
      <c r="I116" s="91" t="s">
        <v>117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99">
        <v>46155.0</v>
      </c>
      <c r="C117" s="66" t="s">
        <v>130</v>
      </c>
      <c r="D117" s="66" t="s">
        <v>22</v>
      </c>
      <c r="E117" s="17" t="s">
        <v>121</v>
      </c>
      <c r="F117" s="90"/>
      <c r="G117" s="67" t="s">
        <v>24</v>
      </c>
      <c r="H117" s="90"/>
      <c r="I117" s="91" t="s">
        <v>63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99">
        <v>46155.0</v>
      </c>
      <c r="C118" s="66" t="s">
        <v>131</v>
      </c>
      <c r="D118" s="66" t="s">
        <v>22</v>
      </c>
      <c r="E118" s="17" t="s">
        <v>59</v>
      </c>
      <c r="F118" s="90"/>
      <c r="G118" s="67" t="s">
        <v>24</v>
      </c>
      <c r="H118" s="90"/>
      <c r="I118" s="91" t="s">
        <v>122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7"/>
      <c r="B123" s="88"/>
      <c r="C123" s="88"/>
      <c r="D123" s="88"/>
      <c r="E123" s="88"/>
      <c r="F123" s="88"/>
      <c r="G123" s="88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7" t="s">
        <v>132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3"/>
    </row>
    <row r="126" ht="15.75" customHeight="1">
      <c r="A126" s="10">
        <v>1.0</v>
      </c>
      <c r="B126" s="43">
        <v>45952.0</v>
      </c>
      <c r="C126" s="12" t="s">
        <v>96</v>
      </c>
      <c r="D126" s="71" t="s">
        <v>97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133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133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5" t="s">
        <v>29</v>
      </c>
      <c r="AE126" s="70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3"/>
    </row>
    <row r="127" ht="15.75" customHeight="1">
      <c r="A127" s="25"/>
      <c r="B127" s="43">
        <v>45952.0</v>
      </c>
      <c r="C127" s="12" t="s">
        <v>99</v>
      </c>
      <c r="D127" s="71" t="s">
        <v>97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134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3"/>
      <c r="X127" s="28" t="s">
        <v>37</v>
      </c>
      <c r="Y127" s="28">
        <v>3.0</v>
      </c>
      <c r="Z127" s="63"/>
      <c r="AA127" s="63"/>
      <c r="AB127" s="63"/>
      <c r="AC127" s="63"/>
      <c r="AD127" s="73" t="s">
        <v>119</v>
      </c>
      <c r="AE127" s="70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3"/>
    </row>
    <row r="128" ht="15.75" customHeight="1">
      <c r="A128" s="25"/>
      <c r="B128" s="43">
        <v>45952.0</v>
      </c>
      <c r="C128" s="12" t="s">
        <v>52</v>
      </c>
      <c r="D128" s="71" t="s">
        <v>97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3"/>
      <c r="X128" s="28" t="s">
        <v>121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135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3"/>
    </row>
    <row r="129" ht="15.75" customHeight="1">
      <c r="A129" s="25"/>
      <c r="B129" s="43">
        <v>45952.0</v>
      </c>
      <c r="C129" s="66" t="s">
        <v>102</v>
      </c>
      <c r="D129" s="71" t="s">
        <v>97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135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3"/>
    </row>
    <row r="130" ht="15.75" customHeight="1">
      <c r="A130" s="29"/>
      <c r="B130" s="92"/>
      <c r="C130" s="67"/>
      <c r="D130" s="67"/>
      <c r="E130" s="17" t="s">
        <v>67</v>
      </c>
      <c r="F130" s="90"/>
      <c r="G130" s="67" t="s">
        <v>24</v>
      </c>
      <c r="H130" s="90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3"/>
    </row>
    <row r="131" ht="15.75" customHeight="1">
      <c r="A131" s="10">
        <v>2.0</v>
      </c>
      <c r="B131" s="43">
        <v>45952.0</v>
      </c>
      <c r="C131" s="39" t="s">
        <v>102</v>
      </c>
      <c r="D131" s="71" t="s">
        <v>97</v>
      </c>
      <c r="E131" s="17" t="s">
        <v>133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3"/>
    </row>
    <row r="132" ht="15.75" customHeight="1">
      <c r="A132" s="25"/>
      <c r="B132" s="93"/>
      <c r="C132" s="94"/>
      <c r="D132" s="94"/>
      <c r="E132" s="17">
        <v>0.0</v>
      </c>
      <c r="F132" s="90"/>
      <c r="G132" s="67" t="s">
        <v>24</v>
      </c>
      <c r="H132" s="90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135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3"/>
    </row>
    <row r="133" ht="15.75" customHeight="1">
      <c r="A133" s="25"/>
      <c r="B133" s="43">
        <v>45952.0</v>
      </c>
      <c r="C133" s="39" t="s">
        <v>102</v>
      </c>
      <c r="D133" s="71" t="s">
        <v>97</v>
      </c>
      <c r="E133" s="17" t="s">
        <v>134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134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3"/>
    </row>
    <row r="134" ht="15.75" customHeight="1">
      <c r="A134" s="25"/>
      <c r="B134" s="11">
        <v>45952.0</v>
      </c>
      <c r="C134" s="39" t="s">
        <v>53</v>
      </c>
      <c r="D134" s="71" t="s">
        <v>97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134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133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3"/>
    </row>
    <row r="135" ht="15.75" customHeight="1">
      <c r="A135" s="29"/>
      <c r="B135" s="11">
        <v>45952.0</v>
      </c>
      <c r="C135" s="39" t="s">
        <v>53</v>
      </c>
      <c r="D135" s="71" t="s">
        <v>97</v>
      </c>
      <c r="E135" s="17" t="s">
        <v>135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136</v>
      </c>
      <c r="AG135" s="95"/>
      <c r="AH135" s="95"/>
      <c r="AI135" s="95"/>
      <c r="AJ135" s="95"/>
      <c r="AK135" s="95"/>
      <c r="AL135" s="95"/>
      <c r="AM135" s="63"/>
    </row>
    <row r="136" ht="15.75" customHeight="1">
      <c r="A136" s="10">
        <v>3.0</v>
      </c>
      <c r="B136" s="11">
        <v>46008.0</v>
      </c>
      <c r="C136" s="39" t="s">
        <v>100</v>
      </c>
      <c r="D136" s="71" t="s">
        <v>97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133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109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55</v>
      </c>
      <c r="D137" s="71" t="s">
        <v>97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96</v>
      </c>
      <c r="D138" s="71" t="s">
        <v>97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134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99</v>
      </c>
      <c r="D139" s="71" t="s">
        <v>97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96"/>
      <c r="C140" s="67"/>
      <c r="D140" s="67"/>
      <c r="E140" s="17">
        <v>0.0</v>
      </c>
      <c r="F140" s="90"/>
      <c r="G140" s="67" t="s">
        <v>24</v>
      </c>
      <c r="H140" s="90"/>
      <c r="I140" s="17" t="s">
        <v>135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96</v>
      </c>
      <c r="D141" s="12" t="s">
        <v>97</v>
      </c>
      <c r="E141" s="17" t="s">
        <v>133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7"/>
      <c r="C143" s="94"/>
      <c r="D143" s="94"/>
      <c r="E143" s="17" t="s">
        <v>45</v>
      </c>
      <c r="F143" s="90"/>
      <c r="G143" s="67" t="s">
        <v>24</v>
      </c>
      <c r="H143" s="90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134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135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133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53</v>
      </c>
      <c r="D147" s="12" t="s">
        <v>97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135</v>
      </c>
      <c r="F149" s="17">
        <v>20.0</v>
      </c>
      <c r="G149" s="67" t="s">
        <v>24</v>
      </c>
      <c r="H149" s="17">
        <v>18.0</v>
      </c>
      <c r="I149" s="17" t="s">
        <v>134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96"/>
      <c r="C150" s="90"/>
      <c r="D150" s="90"/>
      <c r="E150" s="17">
        <v>0.0</v>
      </c>
      <c r="F150" s="90"/>
      <c r="G150" s="67" t="s">
        <v>24</v>
      </c>
      <c r="H150" s="90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133</v>
      </c>
      <c r="F151" s="17">
        <v>6.0</v>
      </c>
      <c r="G151" s="67" t="s">
        <v>24</v>
      </c>
      <c r="H151" s="17">
        <v>10.0</v>
      </c>
      <c r="I151" s="17" t="s">
        <v>135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102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103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7"/>
      <c r="C154" s="100"/>
      <c r="D154" s="98"/>
      <c r="E154" s="17" t="s">
        <v>60</v>
      </c>
      <c r="F154" s="90"/>
      <c r="G154" s="67" t="s">
        <v>24</v>
      </c>
      <c r="H154" s="90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96</v>
      </c>
      <c r="D155" s="39" t="s">
        <v>22</v>
      </c>
      <c r="E155" s="17" t="s">
        <v>134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99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133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53</v>
      </c>
      <c r="D157" s="39" t="s">
        <v>22</v>
      </c>
      <c r="E157" s="17" t="s">
        <v>135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105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106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96"/>
      <c r="C160" s="67"/>
      <c r="D160" s="67"/>
      <c r="E160" s="17">
        <v>0.0</v>
      </c>
      <c r="F160" s="90"/>
      <c r="G160" s="67" t="s">
        <v>24</v>
      </c>
      <c r="H160" s="90"/>
      <c r="I160" s="17" t="s">
        <v>134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99">
        <v>46155.0</v>
      </c>
      <c r="C161" s="66" t="s">
        <v>114</v>
      </c>
      <c r="D161" s="66" t="s">
        <v>22</v>
      </c>
      <c r="E161" s="17" t="s">
        <v>133</v>
      </c>
      <c r="F161" s="90"/>
      <c r="G161" s="67" t="s">
        <v>24</v>
      </c>
      <c r="H161" s="90"/>
      <c r="I161" s="17" t="s">
        <v>134</v>
      </c>
      <c r="J161" s="63"/>
      <c r="K161" s="4" t="str">
        <f t="shared" si="20"/>
        <v/>
      </c>
      <c r="L161" s="18" t="str">
        <f t="shared" si="21"/>
        <v/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99">
        <v>46155.0</v>
      </c>
      <c r="C162" s="66" t="s">
        <v>124</v>
      </c>
      <c r="D162" s="66" t="s">
        <v>22</v>
      </c>
      <c r="E162" s="17" t="s">
        <v>68</v>
      </c>
      <c r="F162" s="90"/>
      <c r="G162" s="67" t="s">
        <v>24</v>
      </c>
      <c r="H162" s="90"/>
      <c r="I162" s="17" t="s">
        <v>66</v>
      </c>
      <c r="J162" s="63"/>
      <c r="K162" s="4" t="str">
        <f t="shared" si="20"/>
        <v/>
      </c>
      <c r="L162" s="18" t="str">
        <f t="shared" si="21"/>
        <v/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99">
        <v>46155.0</v>
      </c>
      <c r="C163" s="66" t="s">
        <v>125</v>
      </c>
      <c r="D163" s="66" t="s">
        <v>22</v>
      </c>
      <c r="E163" s="17" t="s">
        <v>45</v>
      </c>
      <c r="F163" s="90"/>
      <c r="G163" s="67" t="s">
        <v>24</v>
      </c>
      <c r="H163" s="90"/>
      <c r="I163" s="17" t="s">
        <v>135</v>
      </c>
      <c r="J163" s="63"/>
      <c r="K163" s="4" t="str">
        <f t="shared" si="20"/>
        <v/>
      </c>
      <c r="L163" s="18" t="str">
        <f t="shared" si="21"/>
        <v/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99">
        <v>46155.0</v>
      </c>
      <c r="C164" s="66" t="s">
        <v>126</v>
      </c>
      <c r="D164" s="66" t="s">
        <v>22</v>
      </c>
      <c r="E164" s="17" t="s">
        <v>60</v>
      </c>
      <c r="F164" s="90"/>
      <c r="G164" s="67" t="s">
        <v>24</v>
      </c>
      <c r="H164" s="90"/>
      <c r="I164" s="17" t="s">
        <v>67</v>
      </c>
      <c r="J164" s="63"/>
      <c r="K164" s="4" t="str">
        <f t="shared" si="20"/>
        <v/>
      </c>
      <c r="L164" s="18" t="str">
        <f t="shared" si="21"/>
        <v/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96"/>
      <c r="C165" s="67"/>
      <c r="D165" s="67"/>
      <c r="E165" s="17" t="s">
        <v>58</v>
      </c>
      <c r="F165" s="90"/>
      <c r="G165" s="67" t="s">
        <v>24</v>
      </c>
      <c r="H165" s="90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96"/>
      <c r="C166" s="67"/>
      <c r="D166" s="67"/>
      <c r="E166" s="17">
        <v>0.0</v>
      </c>
      <c r="F166" s="90"/>
      <c r="G166" s="67" t="s">
        <v>24</v>
      </c>
      <c r="H166" s="90"/>
      <c r="I166" s="17" t="s">
        <v>133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99">
        <v>46155.0</v>
      </c>
      <c r="C167" s="66" t="s">
        <v>127</v>
      </c>
      <c r="D167" s="66" t="s">
        <v>22</v>
      </c>
      <c r="E167" s="17" t="s">
        <v>134</v>
      </c>
      <c r="F167" s="17"/>
      <c r="G167" s="67" t="s">
        <v>24</v>
      </c>
      <c r="H167" s="17"/>
      <c r="I167" s="17" t="s">
        <v>68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99">
        <v>46155.0</v>
      </c>
      <c r="C168" s="66" t="s">
        <v>128</v>
      </c>
      <c r="D168" s="66" t="s">
        <v>22</v>
      </c>
      <c r="E168" s="17" t="s">
        <v>66</v>
      </c>
      <c r="F168" s="90"/>
      <c r="G168" s="67" t="s">
        <v>24</v>
      </c>
      <c r="H168" s="90"/>
      <c r="I168" s="17" t="s">
        <v>45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99">
        <v>46155.0</v>
      </c>
      <c r="C169" s="66" t="s">
        <v>129</v>
      </c>
      <c r="D169" s="66" t="s">
        <v>22</v>
      </c>
      <c r="E169" s="17" t="s">
        <v>135</v>
      </c>
      <c r="F169" s="90"/>
      <c r="G169" s="67" t="s">
        <v>24</v>
      </c>
      <c r="H169" s="90"/>
      <c r="I169" s="17" t="s">
        <v>60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99">
        <v>46155.0</v>
      </c>
      <c r="C170" s="66" t="s">
        <v>130</v>
      </c>
      <c r="D170" s="66" t="s">
        <v>22</v>
      </c>
      <c r="E170" s="17" t="s">
        <v>67</v>
      </c>
      <c r="F170" s="90"/>
      <c r="G170" s="67" t="s">
        <v>24</v>
      </c>
      <c r="H170" s="90"/>
      <c r="I170" s="17" t="s">
        <v>58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101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101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101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101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137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3"/>
    </row>
    <row r="177" ht="15.75" customHeight="1">
      <c r="A177" s="102">
        <v>1.0</v>
      </c>
      <c r="B177" s="43"/>
      <c r="C177" s="12"/>
      <c r="D177" s="12"/>
      <c r="E177" s="44" t="s">
        <v>138</v>
      </c>
      <c r="F177" s="13"/>
      <c r="G177" s="16" t="s">
        <v>24</v>
      </c>
      <c r="H177" s="13"/>
      <c r="I177" s="44" t="s">
        <v>139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138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103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102">
        <v>2.0</v>
      </c>
      <c r="B178" s="43"/>
      <c r="C178" s="12"/>
      <c r="D178" s="12"/>
      <c r="E178" s="44" t="s">
        <v>139</v>
      </c>
      <c r="F178" s="13"/>
      <c r="G178" s="16" t="s">
        <v>24</v>
      </c>
      <c r="H178" s="13"/>
      <c r="I178" s="44" t="s">
        <v>140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139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103">
        <v>2.0</v>
      </c>
      <c r="AE178" s="70" t="s">
        <v>139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102">
        <v>3.0</v>
      </c>
      <c r="B179" s="43"/>
      <c r="C179" s="12"/>
      <c r="D179" s="12"/>
      <c r="E179" s="44" t="s">
        <v>140</v>
      </c>
      <c r="F179" s="13"/>
      <c r="G179" s="16" t="s">
        <v>24</v>
      </c>
      <c r="H179" s="13"/>
      <c r="I179" s="44" t="s">
        <v>138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140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140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141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3"/>
      <c r="C186" s="12"/>
      <c r="D186" s="12"/>
      <c r="E186" s="44" t="s">
        <v>73</v>
      </c>
      <c r="F186" s="31"/>
      <c r="G186" s="16" t="s">
        <v>24</v>
      </c>
      <c r="H186" s="31"/>
      <c r="I186" s="44" t="s">
        <v>142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3"/>
      <c r="C187" s="12"/>
      <c r="D187" s="12"/>
      <c r="E187" s="44" t="s">
        <v>75</v>
      </c>
      <c r="F187" s="31"/>
      <c r="G187" s="16" t="s">
        <v>24</v>
      </c>
      <c r="H187" s="31"/>
      <c r="I187" s="44" t="s">
        <v>143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3"/>
      <c r="C188" s="12"/>
      <c r="D188" s="12"/>
      <c r="E188" s="44" t="s">
        <v>77</v>
      </c>
      <c r="F188" s="31"/>
      <c r="G188" s="16" t="s">
        <v>24</v>
      </c>
      <c r="H188" s="31"/>
      <c r="I188" s="44" t="s">
        <v>78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3"/>
      <c r="C189" s="12"/>
      <c r="D189" s="12"/>
      <c r="E189" s="44" t="s">
        <v>79</v>
      </c>
      <c r="F189" s="31"/>
      <c r="G189" s="16" t="s">
        <v>24</v>
      </c>
      <c r="H189" s="31"/>
      <c r="I189" s="44" t="s">
        <v>80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81</v>
      </c>
      <c r="B190" s="43"/>
      <c r="C190" s="12"/>
      <c r="D190" s="12"/>
      <c r="E190" s="44" t="s">
        <v>82</v>
      </c>
      <c r="F190" s="31"/>
      <c r="G190" s="16" t="s">
        <v>24</v>
      </c>
      <c r="H190" s="31"/>
      <c r="I190" s="44" t="s">
        <v>83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6"/>
      <c r="C191" s="31"/>
      <c r="D191" s="12"/>
      <c r="E191" s="51" t="s">
        <v>84</v>
      </c>
      <c r="F191" s="13"/>
      <c r="G191" s="16" t="s">
        <v>24</v>
      </c>
      <c r="H191" s="13"/>
      <c r="I191" s="44" t="s">
        <v>85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86</v>
      </c>
      <c r="B192" s="30"/>
      <c r="C192" s="31"/>
      <c r="D192" s="12"/>
      <c r="E192" s="44" t="s">
        <v>87</v>
      </c>
      <c r="F192" s="31"/>
      <c r="G192" s="16" t="s">
        <v>24</v>
      </c>
      <c r="H192" s="31"/>
      <c r="I192" s="61" t="s">
        <v>88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89</v>
      </c>
      <c r="B193" s="30"/>
      <c r="C193" s="31"/>
      <c r="D193" s="12"/>
      <c r="E193" s="44" t="s">
        <v>90</v>
      </c>
      <c r="F193" s="31"/>
      <c r="G193" s="16" t="s">
        <v>24</v>
      </c>
      <c r="H193" s="31"/>
      <c r="I193" s="44" t="s">
        <v>91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101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101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101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101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101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101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101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101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101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101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101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101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101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101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101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101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101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101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101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101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101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101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101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101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101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101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101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101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101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101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101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101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101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101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101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101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101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101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101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101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101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101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101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101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101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101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101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101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101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101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101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101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101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101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101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101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101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101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101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101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101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101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101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101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101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101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101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101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101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101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101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101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101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101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101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101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101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101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101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101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101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101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101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101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101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101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101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101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101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101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101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101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101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101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101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101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101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101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101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101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101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101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101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101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101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101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101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101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101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101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101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101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101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101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101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101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101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101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101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101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101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101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101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61">
    <mergeCell ref="A161:A165"/>
    <mergeCell ref="A166:A170"/>
    <mergeCell ref="A175:G175"/>
    <mergeCell ref="F176:H176"/>
    <mergeCell ref="AD180:AF187"/>
    <mergeCell ref="AG180:AH187"/>
    <mergeCell ref="A184:G184"/>
    <mergeCell ref="F185:H185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F125:H125"/>
    <mergeCell ref="X125:Y125"/>
    <mergeCell ref="AD135:AF135"/>
    <mergeCell ref="AD136:AF136"/>
    <mergeCell ref="AD138:AF145"/>
    <mergeCell ref="AG138:AH145"/>
    <mergeCell ref="A84:A88"/>
    <mergeCell ref="A94:A98"/>
    <mergeCell ref="A99:A103"/>
    <mergeCell ref="A104:A108"/>
    <mergeCell ref="A109:A113"/>
    <mergeCell ref="A114:A118"/>
    <mergeCell ref="A124:G124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4" t="s">
        <v>144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3">
        <v>45951.0</v>
      </c>
      <c r="C3" s="12" t="s">
        <v>96</v>
      </c>
      <c r="D3" s="71" t="s">
        <v>97</v>
      </c>
      <c r="E3" s="44" t="s">
        <v>25</v>
      </c>
      <c r="F3" s="17">
        <v>12.0</v>
      </c>
      <c r="G3" s="90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96</v>
      </c>
      <c r="D4" s="71" t="s">
        <v>97</v>
      </c>
      <c r="E4" s="44" t="s">
        <v>23</v>
      </c>
      <c r="F4" s="17">
        <v>21.0</v>
      </c>
      <c r="G4" s="90" t="s">
        <v>24</v>
      </c>
      <c r="H4" s="17">
        <v>5.0</v>
      </c>
      <c r="I4" s="44" t="s">
        <v>145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3"/>
      <c r="X4" s="63"/>
      <c r="Y4" s="63"/>
      <c r="Z4" s="63"/>
      <c r="AA4" s="22" t="s">
        <v>34</v>
      </c>
      <c r="AB4" s="70" t="s">
        <v>33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99</v>
      </c>
      <c r="D5" s="71" t="s">
        <v>97</v>
      </c>
      <c r="E5" s="44" t="s">
        <v>36</v>
      </c>
      <c r="F5" s="17">
        <v>14.0</v>
      </c>
      <c r="G5" s="90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36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3"/>
      <c r="X5" s="63"/>
      <c r="Y5" s="63"/>
      <c r="Z5" s="63"/>
      <c r="AA5" s="22" t="s">
        <v>38</v>
      </c>
      <c r="AB5" s="70" t="s">
        <v>64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99</v>
      </c>
      <c r="D6" s="71" t="s">
        <v>97</v>
      </c>
      <c r="E6" s="44" t="s">
        <v>33</v>
      </c>
      <c r="F6" s="17">
        <v>15.0</v>
      </c>
      <c r="G6" s="90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2" t="s">
        <v>42</v>
      </c>
      <c r="AB6" s="70" t="s">
        <v>25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1" t="s">
        <v>97</v>
      </c>
      <c r="E7" s="14" t="s">
        <v>69</v>
      </c>
      <c r="F7" s="105">
        <v>0.0</v>
      </c>
      <c r="G7" s="90" t="s">
        <v>24</v>
      </c>
      <c r="H7" s="105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3"/>
      <c r="X7" s="63"/>
      <c r="Y7" s="63"/>
      <c r="Z7" s="63"/>
      <c r="AA7" s="52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1" t="s">
        <v>97</v>
      </c>
      <c r="E8" s="44" t="s">
        <v>40</v>
      </c>
      <c r="F8" s="17">
        <v>3.0</v>
      </c>
      <c r="G8" s="90" t="s">
        <v>24</v>
      </c>
      <c r="H8" s="17">
        <v>9.0</v>
      </c>
      <c r="I8" s="44" t="s">
        <v>120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145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3"/>
      <c r="X8" s="63"/>
      <c r="Y8" s="63"/>
      <c r="Z8" s="63"/>
      <c r="AA8" s="52" t="s">
        <v>47</v>
      </c>
      <c r="AB8" s="70" t="s">
        <v>36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102</v>
      </c>
      <c r="D9" s="71" t="s">
        <v>97</v>
      </c>
      <c r="E9" s="44" t="s">
        <v>68</v>
      </c>
      <c r="F9" s="17">
        <v>1.0</v>
      </c>
      <c r="G9" s="90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3"/>
      <c r="X9" s="63"/>
      <c r="Y9" s="63"/>
      <c r="Z9" s="63"/>
      <c r="AA9" s="52" t="s">
        <v>48</v>
      </c>
      <c r="AB9" s="70" t="s">
        <v>61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3">
        <v>45951.0</v>
      </c>
      <c r="C10" s="12" t="s">
        <v>102</v>
      </c>
      <c r="D10" s="71" t="s">
        <v>97</v>
      </c>
      <c r="E10" s="44" t="s">
        <v>25</v>
      </c>
      <c r="F10" s="17">
        <v>14.0</v>
      </c>
      <c r="G10" s="90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3"/>
      <c r="X10" s="63"/>
      <c r="Y10" s="63"/>
      <c r="Z10" s="63"/>
      <c r="AA10" s="52" t="s">
        <v>146</v>
      </c>
      <c r="AB10" s="70" t="s">
        <v>120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103</v>
      </c>
      <c r="D11" s="71" t="s">
        <v>97</v>
      </c>
      <c r="E11" s="44" t="s">
        <v>23</v>
      </c>
      <c r="F11" s="17">
        <v>21.0</v>
      </c>
      <c r="G11" s="90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145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103</v>
      </c>
      <c r="D12" s="71" t="s">
        <v>97</v>
      </c>
      <c r="E12" s="44" t="s">
        <v>36</v>
      </c>
      <c r="F12" s="17">
        <v>12.0</v>
      </c>
      <c r="G12" s="90" t="s">
        <v>24</v>
      </c>
      <c r="H12" s="17">
        <v>4.0</v>
      </c>
      <c r="I12" s="44" t="s">
        <v>145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3"/>
      <c r="X12" s="63"/>
      <c r="Y12" s="63"/>
      <c r="Z12" s="63"/>
      <c r="AA12" s="22">
        <v>10.0</v>
      </c>
      <c r="AB12" s="70" t="s">
        <v>68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1" t="s">
        <v>97</v>
      </c>
      <c r="E13" s="44" t="s">
        <v>33</v>
      </c>
      <c r="F13" s="17">
        <v>12.0</v>
      </c>
      <c r="G13" s="90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3"/>
      <c r="X13" s="63"/>
      <c r="Y13" s="63"/>
      <c r="Z13" s="63"/>
      <c r="AA13" s="22">
        <v>11.0</v>
      </c>
      <c r="AB13" s="70" t="s">
        <v>45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1" t="s">
        <v>97</v>
      </c>
      <c r="E14" s="14" t="s">
        <v>147</v>
      </c>
      <c r="F14" s="105">
        <v>0.0</v>
      </c>
      <c r="G14" s="90" t="s">
        <v>24</v>
      </c>
      <c r="H14" s="105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120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3"/>
      <c r="X14" s="63"/>
      <c r="Y14" s="63"/>
      <c r="Z14" s="63"/>
      <c r="AA14" s="22">
        <v>12.0</v>
      </c>
      <c r="AB14" s="70" t="s">
        <v>63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105</v>
      </c>
      <c r="D15" s="71" t="s">
        <v>97</v>
      </c>
      <c r="E15" s="44" t="s">
        <v>40</v>
      </c>
      <c r="F15" s="17">
        <v>1.0</v>
      </c>
      <c r="G15" s="90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106">
        <v>13.0</v>
      </c>
      <c r="O15" s="106" t="s">
        <v>68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3"/>
      <c r="X15" s="63"/>
      <c r="Y15" s="63"/>
      <c r="Z15" s="63"/>
      <c r="AA15" s="22">
        <v>13.0</v>
      </c>
      <c r="AB15" s="70" t="s">
        <v>40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105</v>
      </c>
      <c r="D16" s="71" t="s">
        <v>97</v>
      </c>
      <c r="E16" s="44" t="s">
        <v>64</v>
      </c>
      <c r="F16" s="17">
        <v>6.0</v>
      </c>
      <c r="G16" s="90" t="s">
        <v>24</v>
      </c>
      <c r="H16" s="17">
        <v>2.0</v>
      </c>
      <c r="I16" s="44" t="s">
        <v>120</v>
      </c>
      <c r="J16" s="4"/>
      <c r="K16" s="4">
        <f t="shared" si="1"/>
        <v>2</v>
      </c>
      <c r="L16" s="18">
        <f t="shared" si="2"/>
        <v>0</v>
      </c>
      <c r="M16" s="4"/>
      <c r="N16" s="106">
        <v>14.0</v>
      </c>
      <c r="O16" s="106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107">
        <v>46008.0</v>
      </c>
      <c r="C17" s="12" t="s">
        <v>54</v>
      </c>
      <c r="D17" s="71" t="s">
        <v>97</v>
      </c>
      <c r="E17" s="44" t="s">
        <v>25</v>
      </c>
      <c r="F17" s="17">
        <v>15.0</v>
      </c>
      <c r="G17" s="90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148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107">
        <v>46008.0</v>
      </c>
      <c r="C18" s="12" t="s">
        <v>54</v>
      </c>
      <c r="D18" s="71" t="s">
        <v>97</v>
      </c>
      <c r="E18" s="44" t="s">
        <v>23</v>
      </c>
      <c r="F18" s="17">
        <v>20.0</v>
      </c>
      <c r="G18" s="90" t="s">
        <v>24</v>
      </c>
      <c r="H18" s="17">
        <v>11.0</v>
      </c>
      <c r="I18" s="44" t="s">
        <v>36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107">
        <v>46008.0</v>
      </c>
      <c r="C19" s="12" t="s">
        <v>116</v>
      </c>
      <c r="D19" s="71" t="s">
        <v>97</v>
      </c>
      <c r="E19" s="44" t="s">
        <v>61</v>
      </c>
      <c r="F19" s="17">
        <v>21.0</v>
      </c>
      <c r="G19" s="90" t="s">
        <v>24</v>
      </c>
      <c r="H19" s="17">
        <v>0.0</v>
      </c>
      <c r="I19" s="14" t="s">
        <v>147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107">
        <v>46008.0</v>
      </c>
      <c r="C20" s="12" t="s">
        <v>116</v>
      </c>
      <c r="D20" s="71" t="s">
        <v>97</v>
      </c>
      <c r="E20" s="44" t="s">
        <v>145</v>
      </c>
      <c r="F20" s="17">
        <v>14.0</v>
      </c>
      <c r="G20" s="90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108" t="s">
        <v>111</v>
      </c>
      <c r="AB20" s="82"/>
      <c r="AC20" s="82"/>
      <c r="AD20" s="82"/>
      <c r="AE20" s="82"/>
      <c r="AF20" s="82"/>
      <c r="AG20" s="82"/>
      <c r="AH20" s="82"/>
      <c r="AI20" s="83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107">
        <v>46008.0</v>
      </c>
      <c r="C21" s="12" t="s">
        <v>107</v>
      </c>
      <c r="D21" s="71" t="s">
        <v>97</v>
      </c>
      <c r="E21" s="44" t="s">
        <v>64</v>
      </c>
      <c r="F21" s="105">
        <v>4.0</v>
      </c>
      <c r="G21" s="90" t="s">
        <v>24</v>
      </c>
      <c r="H21" s="105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84"/>
      <c r="AB21" s="85"/>
      <c r="AC21" s="85"/>
      <c r="AD21" s="85"/>
      <c r="AE21" s="85"/>
      <c r="AF21" s="85"/>
      <c r="AG21" s="85"/>
      <c r="AH21" s="85"/>
      <c r="AI21" s="86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107">
        <v>46008.0</v>
      </c>
      <c r="C22" s="12" t="s">
        <v>51</v>
      </c>
      <c r="D22" s="71" t="s">
        <v>97</v>
      </c>
      <c r="E22" s="44" t="s">
        <v>45</v>
      </c>
      <c r="F22" s="17">
        <v>6.0</v>
      </c>
      <c r="G22" s="90" t="s">
        <v>24</v>
      </c>
      <c r="H22" s="17">
        <v>0.0</v>
      </c>
      <c r="I22" s="44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5" t="s">
        <v>11</v>
      </c>
      <c r="AB22" s="5" t="s">
        <v>12</v>
      </c>
      <c r="AC22" s="5" t="s">
        <v>13</v>
      </c>
      <c r="AD22" s="5" t="s">
        <v>14</v>
      </c>
      <c r="AE22" s="5" t="s">
        <v>15</v>
      </c>
      <c r="AF22" s="5" t="s">
        <v>16</v>
      </c>
      <c r="AG22" s="5" t="s">
        <v>93</v>
      </c>
      <c r="AH22" s="5" t="s">
        <v>94</v>
      </c>
      <c r="AI22" s="5" t="s">
        <v>95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07">
        <v>46008.0</v>
      </c>
      <c r="C23" s="12" t="s">
        <v>110</v>
      </c>
      <c r="D23" s="71" t="s">
        <v>97</v>
      </c>
      <c r="E23" s="44" t="s">
        <v>120</v>
      </c>
      <c r="F23" s="17">
        <v>5.0</v>
      </c>
      <c r="G23" s="90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22" t="s">
        <v>29</v>
      </c>
      <c r="AB23" s="70" t="s">
        <v>23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3">
        <v>46072.0</v>
      </c>
      <c r="C24" s="39" t="s">
        <v>51</v>
      </c>
      <c r="D24" s="12" t="s">
        <v>97</v>
      </c>
      <c r="E24" s="44" t="s">
        <v>25</v>
      </c>
      <c r="F24" s="17">
        <v>21.0</v>
      </c>
      <c r="G24" s="90" t="s">
        <v>24</v>
      </c>
      <c r="H24" s="17">
        <v>8.0</v>
      </c>
      <c r="I24" s="44" t="s">
        <v>36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22" t="s">
        <v>34</v>
      </c>
      <c r="AB24" s="70" t="s">
        <v>33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110</v>
      </c>
      <c r="D25" s="12" t="s">
        <v>97</v>
      </c>
      <c r="E25" s="44" t="s">
        <v>23</v>
      </c>
      <c r="F25" s="17">
        <v>13.0</v>
      </c>
      <c r="G25" s="90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22" t="s">
        <v>38</v>
      </c>
      <c r="AB25" s="70" t="s">
        <v>64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100</v>
      </c>
      <c r="D26" s="12" t="s">
        <v>97</v>
      </c>
      <c r="E26" s="44" t="s">
        <v>61</v>
      </c>
      <c r="F26" s="17">
        <v>7.0</v>
      </c>
      <c r="G26" s="90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52" t="s">
        <v>42</v>
      </c>
      <c r="AB26" s="70" t="s">
        <v>25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97</v>
      </c>
      <c r="E27" s="44" t="s">
        <v>145</v>
      </c>
      <c r="F27" s="17">
        <v>9.0</v>
      </c>
      <c r="G27" s="90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52" t="s">
        <v>44</v>
      </c>
      <c r="AB27" s="109" t="s">
        <v>36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6" t="s">
        <v>96</v>
      </c>
      <c r="D28" s="12" t="s">
        <v>97</v>
      </c>
      <c r="E28" s="44" t="s">
        <v>63</v>
      </c>
      <c r="F28" s="105">
        <v>12.0</v>
      </c>
      <c r="G28" s="90" t="s">
        <v>24</v>
      </c>
      <c r="H28" s="105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52" t="s">
        <v>47</v>
      </c>
      <c r="AB28" s="109" t="s">
        <v>31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99</v>
      </c>
      <c r="D29" s="12" t="s">
        <v>97</v>
      </c>
      <c r="E29" s="44" t="s">
        <v>45</v>
      </c>
      <c r="F29" s="17">
        <v>2.0</v>
      </c>
      <c r="G29" s="90" t="s">
        <v>24</v>
      </c>
      <c r="H29" s="17">
        <v>14.0</v>
      </c>
      <c r="I29" s="44" t="s">
        <v>120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52" t="s">
        <v>48</v>
      </c>
      <c r="AB29" s="70" t="s">
        <v>61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97</v>
      </c>
      <c r="E30" s="110" t="s">
        <v>147</v>
      </c>
      <c r="F30" s="17">
        <v>0.0</v>
      </c>
      <c r="G30" s="90" t="s">
        <v>24</v>
      </c>
      <c r="H30" s="17">
        <v>21.0</v>
      </c>
      <c r="I30" s="44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52" t="s">
        <v>146</v>
      </c>
      <c r="AB30" s="70" t="s">
        <v>120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3">
        <v>46072.0</v>
      </c>
      <c r="C31" s="66" t="s">
        <v>102</v>
      </c>
      <c r="D31" s="12" t="s">
        <v>97</v>
      </c>
      <c r="E31" s="44" t="s">
        <v>25</v>
      </c>
      <c r="F31" s="17">
        <v>12.0</v>
      </c>
      <c r="G31" s="90" t="s">
        <v>24</v>
      </c>
      <c r="H31" s="17">
        <v>9.0</v>
      </c>
      <c r="I31" s="44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22">
        <v>9.0</v>
      </c>
      <c r="AB31" s="70" t="s">
        <v>145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6" t="s">
        <v>103</v>
      </c>
      <c r="D32" s="12" t="s">
        <v>97</v>
      </c>
      <c r="E32" s="44" t="s">
        <v>23</v>
      </c>
      <c r="F32" s="17">
        <v>21.0</v>
      </c>
      <c r="G32" s="90" t="s">
        <v>24</v>
      </c>
      <c r="H32" s="17">
        <v>7.0</v>
      </c>
      <c r="I32" s="44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22">
        <v>10.0</v>
      </c>
      <c r="AB32" s="70" t="s">
        <v>68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6" t="s">
        <v>53</v>
      </c>
      <c r="D33" s="12" t="s">
        <v>97</v>
      </c>
      <c r="E33" s="44" t="s">
        <v>36</v>
      </c>
      <c r="F33" s="17">
        <v>21.0</v>
      </c>
      <c r="G33" s="90" t="s">
        <v>24</v>
      </c>
      <c r="H33" s="17">
        <v>0.0</v>
      </c>
      <c r="I33" s="14" t="s">
        <v>147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22">
        <v>11.0</v>
      </c>
      <c r="AB33" s="70" t="s">
        <v>45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6" t="s">
        <v>105</v>
      </c>
      <c r="D34" s="12" t="s">
        <v>97</v>
      </c>
      <c r="E34" s="44" t="s">
        <v>33</v>
      </c>
      <c r="F34" s="17">
        <v>21.0</v>
      </c>
      <c r="G34" s="90" t="s">
        <v>24</v>
      </c>
      <c r="H34" s="17">
        <v>2.0</v>
      </c>
      <c r="I34" s="44" t="s">
        <v>40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22">
        <v>12.0</v>
      </c>
      <c r="AB34" s="70" t="s">
        <v>63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106</v>
      </c>
      <c r="D35" s="12" t="s">
        <v>97</v>
      </c>
      <c r="E35" s="44" t="s">
        <v>61</v>
      </c>
      <c r="F35" s="105">
        <v>6.0</v>
      </c>
      <c r="G35" s="90" t="s">
        <v>24</v>
      </c>
      <c r="H35" s="105">
        <v>12.0</v>
      </c>
      <c r="I35" s="44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22">
        <v>13.0</v>
      </c>
      <c r="AB35" s="70" t="s">
        <v>40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6" t="s">
        <v>96</v>
      </c>
      <c r="D36" s="12" t="s">
        <v>97</v>
      </c>
      <c r="E36" s="44" t="s">
        <v>145</v>
      </c>
      <c r="F36" s="17">
        <v>10.0</v>
      </c>
      <c r="G36" s="90" t="s">
        <v>24</v>
      </c>
      <c r="H36" s="17">
        <v>11.0</v>
      </c>
      <c r="I36" s="44" t="s">
        <v>120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111">
        <v>14.0</v>
      </c>
      <c r="AB36" s="112" t="s">
        <v>69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52</v>
      </c>
      <c r="D37" s="12" t="s">
        <v>97</v>
      </c>
      <c r="E37" s="44" t="s">
        <v>63</v>
      </c>
      <c r="F37" s="17">
        <v>12.0</v>
      </c>
      <c r="G37" s="90" t="s">
        <v>24</v>
      </c>
      <c r="H37" s="17">
        <v>5.0</v>
      </c>
      <c r="I37" s="44" t="s">
        <v>45</v>
      </c>
      <c r="J37" s="63"/>
      <c r="K37" s="4">
        <f t="shared" si="1"/>
        <v>2</v>
      </c>
      <c r="L37" s="18">
        <f t="shared" si="2"/>
        <v>0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5" t="s">
        <v>149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3">
        <v>46099.0</v>
      </c>
      <c r="C38" s="12" t="s">
        <v>99</v>
      </c>
      <c r="D38" s="12" t="s">
        <v>97</v>
      </c>
      <c r="E38" s="44" t="s">
        <v>25</v>
      </c>
      <c r="F38" s="17">
        <v>10.0</v>
      </c>
      <c r="G38" s="90" t="s">
        <v>24</v>
      </c>
      <c r="H38" s="17">
        <v>1.0</v>
      </c>
      <c r="I38" s="44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97</v>
      </c>
      <c r="E39" s="44" t="s">
        <v>23</v>
      </c>
      <c r="F39" s="17">
        <v>10.0</v>
      </c>
      <c r="G39" s="90" t="s">
        <v>24</v>
      </c>
      <c r="H39" s="17">
        <v>8.0</v>
      </c>
      <c r="I39" s="44" t="s">
        <v>120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6" t="s">
        <v>102</v>
      </c>
      <c r="D40" s="12" t="s">
        <v>97</v>
      </c>
      <c r="E40" s="44" t="s">
        <v>36</v>
      </c>
      <c r="F40" s="17">
        <v>10.0</v>
      </c>
      <c r="G40" s="90" t="s">
        <v>24</v>
      </c>
      <c r="H40" s="17">
        <v>1.0</v>
      </c>
      <c r="I40" s="44" t="s">
        <v>40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6" t="s">
        <v>103</v>
      </c>
      <c r="D41" s="12" t="s">
        <v>97</v>
      </c>
      <c r="E41" s="44" t="s">
        <v>33</v>
      </c>
      <c r="F41" s="17">
        <v>1.0</v>
      </c>
      <c r="G41" s="90" t="s">
        <v>24</v>
      </c>
      <c r="H41" s="17">
        <v>12.0</v>
      </c>
      <c r="I41" s="44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6" t="s">
        <v>53</v>
      </c>
      <c r="D42" s="12" t="s">
        <v>97</v>
      </c>
      <c r="E42" s="44" t="s">
        <v>61</v>
      </c>
      <c r="F42" s="105">
        <v>6.0</v>
      </c>
      <c r="G42" s="90" t="s">
        <v>24</v>
      </c>
      <c r="H42" s="105">
        <v>8.0</v>
      </c>
      <c r="I42" s="44" t="s">
        <v>145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6" t="s">
        <v>105</v>
      </c>
      <c r="D43" s="12" t="s">
        <v>97</v>
      </c>
      <c r="E43" s="14" t="s">
        <v>147</v>
      </c>
      <c r="F43" s="17">
        <v>0.0</v>
      </c>
      <c r="G43" s="90" t="s">
        <v>24</v>
      </c>
      <c r="H43" s="17">
        <v>21.0</v>
      </c>
      <c r="I43" s="44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90" t="s">
        <v>24</v>
      </c>
      <c r="H44" s="17">
        <v>21.0</v>
      </c>
      <c r="I44" s="44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43">
        <v>46148.0</v>
      </c>
      <c r="C45" s="12" t="s">
        <v>51</v>
      </c>
      <c r="D45" s="12" t="s">
        <v>97</v>
      </c>
      <c r="E45" s="44" t="s">
        <v>25</v>
      </c>
      <c r="F45" s="17">
        <v>7.0</v>
      </c>
      <c r="G45" s="90" t="s">
        <v>24</v>
      </c>
      <c r="H45" s="17">
        <v>5.0</v>
      </c>
      <c r="I45" s="44" t="s">
        <v>120</v>
      </c>
      <c r="J45" s="63"/>
      <c r="K45" s="4">
        <f t="shared" si="1"/>
        <v>2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110</v>
      </c>
      <c r="D46" s="12" t="s">
        <v>97</v>
      </c>
      <c r="E46" s="44" t="s">
        <v>23</v>
      </c>
      <c r="F46" s="17">
        <v>21.0</v>
      </c>
      <c r="G46" s="90" t="s">
        <v>24</v>
      </c>
      <c r="H46" s="17">
        <v>0.0</v>
      </c>
      <c r="I46" s="44" t="s">
        <v>31</v>
      </c>
      <c r="J46" s="63"/>
      <c r="K46" s="4">
        <f t="shared" si="1"/>
        <v>2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100</v>
      </c>
      <c r="D47" s="12" t="s">
        <v>97</v>
      </c>
      <c r="E47" s="44" t="s">
        <v>36</v>
      </c>
      <c r="F47" s="17">
        <v>0.0</v>
      </c>
      <c r="G47" s="90" t="s">
        <v>24</v>
      </c>
      <c r="H47" s="17">
        <v>11.0</v>
      </c>
      <c r="I47" s="44" t="s">
        <v>64</v>
      </c>
      <c r="J47" s="63"/>
      <c r="K47" s="4">
        <f t="shared" si="1"/>
        <v>0</v>
      </c>
      <c r="L47" s="18">
        <f t="shared" si="2"/>
        <v>2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8"/>
      <c r="D48" s="98"/>
      <c r="E48" s="44" t="s">
        <v>33</v>
      </c>
      <c r="F48" s="17">
        <v>21.0</v>
      </c>
      <c r="G48" s="90" t="s">
        <v>24</v>
      </c>
      <c r="H48" s="17">
        <v>0.0</v>
      </c>
      <c r="I48" s="14" t="s">
        <v>147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97</v>
      </c>
      <c r="E49" s="44" t="s">
        <v>61</v>
      </c>
      <c r="F49" s="105">
        <v>19.0</v>
      </c>
      <c r="G49" s="90" t="s">
        <v>24</v>
      </c>
      <c r="H49" s="105">
        <v>0.0</v>
      </c>
      <c r="I49" s="44" t="s">
        <v>45</v>
      </c>
      <c r="J49" s="63"/>
      <c r="K49" s="4">
        <f t="shared" si="1"/>
        <v>2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96</v>
      </c>
      <c r="D50" s="12" t="s">
        <v>97</v>
      </c>
      <c r="E50" s="44" t="s">
        <v>145</v>
      </c>
      <c r="F50" s="17">
        <v>14.0</v>
      </c>
      <c r="G50" s="90" t="s">
        <v>24</v>
      </c>
      <c r="H50" s="17">
        <v>7.0</v>
      </c>
      <c r="I50" s="44" t="s">
        <v>40</v>
      </c>
      <c r="J50" s="63"/>
      <c r="K50" s="4">
        <f t="shared" si="1"/>
        <v>2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99</v>
      </c>
      <c r="D51" s="12" t="s">
        <v>97</v>
      </c>
      <c r="E51" s="44" t="s">
        <v>63</v>
      </c>
      <c r="F51" s="17">
        <v>8.0</v>
      </c>
      <c r="G51" s="90" t="s">
        <v>24</v>
      </c>
      <c r="H51" s="17">
        <v>9.0</v>
      </c>
      <c r="I51" s="44" t="s">
        <v>68</v>
      </c>
      <c r="J51" s="63"/>
      <c r="K51" s="4">
        <f t="shared" si="1"/>
        <v>0</v>
      </c>
      <c r="L51" s="18">
        <f t="shared" si="2"/>
        <v>2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1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1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1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1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150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3"/>
      <c r="C58" s="12"/>
      <c r="D58" s="12"/>
      <c r="E58" s="44" t="s">
        <v>23</v>
      </c>
      <c r="F58" s="31"/>
      <c r="G58" s="16" t="s">
        <v>24</v>
      </c>
      <c r="H58" s="31"/>
      <c r="I58" s="44" t="s">
        <v>120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3"/>
      <c r="C59" s="12"/>
      <c r="D59" s="12"/>
      <c r="E59" s="44" t="s">
        <v>33</v>
      </c>
      <c r="F59" s="31"/>
      <c r="G59" s="16" t="s">
        <v>24</v>
      </c>
      <c r="H59" s="31"/>
      <c r="I59" s="44" t="s">
        <v>61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3"/>
      <c r="C60" s="12"/>
      <c r="D60" s="12"/>
      <c r="E60" s="44" t="s">
        <v>64</v>
      </c>
      <c r="F60" s="31"/>
      <c r="G60" s="16" t="s">
        <v>24</v>
      </c>
      <c r="H60" s="31"/>
      <c r="I60" s="44" t="s">
        <v>36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3"/>
      <c r="C61" s="12"/>
      <c r="D61" s="12"/>
      <c r="E61" s="44" t="s">
        <v>25</v>
      </c>
      <c r="F61" s="31"/>
      <c r="G61" s="16" t="s">
        <v>24</v>
      </c>
      <c r="H61" s="31"/>
      <c r="I61" s="44" t="s">
        <v>31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81</v>
      </c>
      <c r="B62" s="43"/>
      <c r="C62" s="12"/>
      <c r="D62" s="12"/>
      <c r="E62" s="44" t="s">
        <v>82</v>
      </c>
      <c r="F62" s="31"/>
      <c r="G62" s="16" t="s">
        <v>24</v>
      </c>
      <c r="H62" s="31"/>
      <c r="I62" s="44" t="s">
        <v>83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6"/>
      <c r="C63" s="31"/>
      <c r="D63" s="12"/>
      <c r="E63" s="51" t="s">
        <v>84</v>
      </c>
      <c r="F63" s="13"/>
      <c r="G63" s="16" t="s">
        <v>24</v>
      </c>
      <c r="H63" s="13"/>
      <c r="I63" s="44" t="s">
        <v>85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86</v>
      </c>
      <c r="B64" s="30"/>
      <c r="C64" s="31"/>
      <c r="D64" s="12"/>
      <c r="E64" s="44" t="s">
        <v>87</v>
      </c>
      <c r="F64" s="31"/>
      <c r="G64" s="16" t="s">
        <v>24</v>
      </c>
      <c r="H64" s="31"/>
      <c r="I64" s="61" t="s">
        <v>88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89</v>
      </c>
      <c r="B65" s="30"/>
      <c r="C65" s="31"/>
      <c r="D65" s="12"/>
      <c r="E65" s="44" t="s">
        <v>90</v>
      </c>
      <c r="F65" s="31"/>
      <c r="G65" s="16" t="s">
        <v>24</v>
      </c>
      <c r="H65" s="31"/>
      <c r="I65" s="44" t="s">
        <v>91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1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1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1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1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1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1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1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1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1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1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1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1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1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1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1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1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4" t="s">
        <v>151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3">
        <v>45965.0</v>
      </c>
      <c r="C3" s="66" t="s">
        <v>152</v>
      </c>
      <c r="D3" s="12" t="s">
        <v>97</v>
      </c>
      <c r="E3" s="44" t="s">
        <v>32</v>
      </c>
      <c r="F3" s="17">
        <v>2.0</v>
      </c>
      <c r="G3" s="90" t="s">
        <v>24</v>
      </c>
      <c r="H3" s="17">
        <v>4.0</v>
      </c>
      <c r="I3" s="44" t="s">
        <v>23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Matemática</v>
      </c>
      <c r="AA3" s="23">
        <v>24.0</v>
      </c>
      <c r="AB3" s="23">
        <v>8.0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97</v>
      </c>
      <c r="E4" s="44" t="s">
        <v>31</v>
      </c>
      <c r="F4" s="17">
        <v>3.0</v>
      </c>
      <c r="G4" s="90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3"/>
      <c r="X4" s="63"/>
      <c r="Y4" s="22" t="s">
        <v>34</v>
      </c>
      <c r="Z4" s="70" t="s">
        <v>66</v>
      </c>
      <c r="AA4" s="23">
        <v>21.0</v>
      </c>
      <c r="AB4" s="23">
        <v>7.0</v>
      </c>
      <c r="AC4" s="23">
        <v>0.0</v>
      </c>
      <c r="AD4" s="24">
        <v>0.0</v>
      </c>
      <c r="AE4" s="23">
        <v>47.0</v>
      </c>
      <c r="AF4" s="24">
        <v>1.0</v>
      </c>
      <c r="AG4" s="23">
        <v>46.0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6" t="s">
        <v>49</v>
      </c>
      <c r="D5" s="12" t="s">
        <v>97</v>
      </c>
      <c r="E5" s="44" t="s">
        <v>66</v>
      </c>
      <c r="F5" s="17"/>
      <c r="G5" s="90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8" t="s">
        <v>66</v>
      </c>
      <c r="P5" s="18">
        <f t="shared" si="3"/>
        <v>21</v>
      </c>
      <c r="Q5" s="18">
        <f t="shared" si="4"/>
        <v>7</v>
      </c>
      <c r="R5" s="18">
        <f t="shared" si="5"/>
        <v>0</v>
      </c>
      <c r="S5" s="20">
        <f t="shared" si="6"/>
        <v>0</v>
      </c>
      <c r="T5" s="18">
        <f t="shared" si="7"/>
        <v>47</v>
      </c>
      <c r="U5" s="20">
        <f t="shared" si="8"/>
        <v>1</v>
      </c>
      <c r="V5" s="18">
        <f t="shared" si="9"/>
        <v>46</v>
      </c>
      <c r="W5" s="63"/>
      <c r="X5" s="63"/>
      <c r="Y5" s="22" t="s">
        <v>38</v>
      </c>
      <c r="Z5" s="70" t="s">
        <v>23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6" t="s">
        <v>55</v>
      </c>
      <c r="D6" s="12" t="s">
        <v>97</v>
      </c>
      <c r="E6" s="44" t="s">
        <v>65</v>
      </c>
      <c r="F6" s="17">
        <v>4.0</v>
      </c>
      <c r="G6" s="90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2" t="s">
        <v>42</v>
      </c>
      <c r="Z6" s="70" t="s">
        <v>31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6" t="s">
        <v>153</v>
      </c>
      <c r="D7" s="12" t="s">
        <v>97</v>
      </c>
      <c r="E7" s="44" t="s">
        <v>117</v>
      </c>
      <c r="F7" s="105"/>
      <c r="G7" s="90" t="s">
        <v>24</v>
      </c>
      <c r="H7" s="105"/>
      <c r="I7" s="116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3"/>
      <c r="X7" s="63"/>
      <c r="Y7" s="52" t="s">
        <v>44</v>
      </c>
      <c r="Z7" s="70" t="s">
        <v>25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6" t="s">
        <v>154</v>
      </c>
      <c r="D8" s="12" t="s">
        <v>97</v>
      </c>
      <c r="E8" s="44" t="s">
        <v>61</v>
      </c>
      <c r="F8" s="17">
        <v>3.0</v>
      </c>
      <c r="G8" s="90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3"/>
      <c r="X8" s="63"/>
      <c r="Y8" s="52" t="s">
        <v>47</v>
      </c>
      <c r="Z8" s="70" t="s">
        <v>33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97</v>
      </c>
      <c r="E9" s="44" t="s">
        <v>115</v>
      </c>
      <c r="F9" s="17">
        <v>3.0</v>
      </c>
      <c r="G9" s="90" t="s">
        <v>24</v>
      </c>
      <c r="H9" s="17">
        <v>7.0</v>
      </c>
      <c r="I9" s="44" t="s">
        <v>36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3"/>
      <c r="X9" s="63"/>
      <c r="Y9" s="52" t="s">
        <v>48</v>
      </c>
      <c r="Z9" s="70" t="s">
        <v>36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90" t="s">
        <v>24</v>
      </c>
      <c r="H10" s="17">
        <v>1.0</v>
      </c>
      <c r="I10" s="44" t="s">
        <v>155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8" t="s">
        <v>33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3"/>
      <c r="X10" s="63"/>
      <c r="Y10" s="52" t="s">
        <v>146</v>
      </c>
      <c r="Z10" s="70" t="s">
        <v>115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90" t="s">
        <v>24</v>
      </c>
      <c r="H11" s="17">
        <v>3.0</v>
      </c>
      <c r="I11" s="44" t="s">
        <v>115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117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3"/>
      <c r="X11" s="63"/>
      <c r="Y11" s="22">
        <v>9.0</v>
      </c>
      <c r="Z11" s="70" t="s">
        <v>155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66</v>
      </c>
      <c r="F12" s="17">
        <v>17.0</v>
      </c>
      <c r="G12" s="90" t="s">
        <v>24</v>
      </c>
      <c r="H12" s="17">
        <v>0.0</v>
      </c>
      <c r="I12" s="44" t="s">
        <v>117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32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156</v>
      </c>
      <c r="D13" s="12" t="s">
        <v>22</v>
      </c>
      <c r="E13" s="44" t="s">
        <v>65</v>
      </c>
      <c r="F13" s="17">
        <v>6.0</v>
      </c>
      <c r="G13" s="90" t="s">
        <v>24</v>
      </c>
      <c r="H13" s="17">
        <v>1.0</v>
      </c>
      <c r="I13" s="44" t="s">
        <v>36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4</v>
      </c>
      <c r="U13" s="20">
        <f t="shared" si="8"/>
        <v>38</v>
      </c>
      <c r="V13" s="18">
        <f t="shared" si="9"/>
        <v>-34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5.0</v>
      </c>
      <c r="AE13" s="23">
        <v>4.0</v>
      </c>
      <c r="AF13" s="24">
        <v>38.0</v>
      </c>
      <c r="AG13" s="23">
        <v>-34.0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157</v>
      </c>
      <c r="D14" s="12" t="s">
        <v>22</v>
      </c>
      <c r="E14" s="44" t="s">
        <v>23</v>
      </c>
      <c r="F14" s="105"/>
      <c r="G14" s="90" t="s">
        <v>24</v>
      </c>
      <c r="H14" s="105"/>
      <c r="I14" s="116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3"/>
      <c r="X14" s="63"/>
      <c r="Y14" s="22">
        <v>12.0</v>
      </c>
      <c r="Z14" s="70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158</v>
      </c>
      <c r="D15" s="12" t="s">
        <v>22</v>
      </c>
      <c r="E15" s="44" t="s">
        <v>25</v>
      </c>
      <c r="F15" s="17">
        <v>9.0</v>
      </c>
      <c r="G15" s="90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106">
        <v>13.0</v>
      </c>
      <c r="O15" s="106" t="s">
        <v>115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90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106">
        <v>14.0</v>
      </c>
      <c r="O16" s="106" t="s">
        <v>155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90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106">
        <v>15.0</v>
      </c>
      <c r="O17" s="106" t="s">
        <v>36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3"/>
      <c r="X17" s="63"/>
      <c r="Y17" s="52">
        <v>15.0</v>
      </c>
      <c r="Z17" s="70" t="s">
        <v>117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6" t="s">
        <v>129</v>
      </c>
      <c r="D18" s="12" t="s">
        <v>22</v>
      </c>
      <c r="E18" s="44" t="s">
        <v>155</v>
      </c>
      <c r="F18" s="17">
        <v>0.0</v>
      </c>
      <c r="G18" s="90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159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6" t="s">
        <v>160</v>
      </c>
      <c r="D19" s="12" t="s">
        <v>22</v>
      </c>
      <c r="E19" s="14" t="s">
        <v>69</v>
      </c>
      <c r="F19" s="17"/>
      <c r="G19" s="90" t="s">
        <v>24</v>
      </c>
      <c r="H19" s="17"/>
      <c r="I19" s="44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6" t="s">
        <v>51</v>
      </c>
      <c r="D20" s="12" t="s">
        <v>22</v>
      </c>
      <c r="E20" s="44" t="s">
        <v>117</v>
      </c>
      <c r="F20" s="17">
        <v>0.0</v>
      </c>
      <c r="G20" s="90" t="s">
        <v>24</v>
      </c>
      <c r="H20" s="17">
        <v>16.0</v>
      </c>
      <c r="I20" s="44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6" t="s">
        <v>161</v>
      </c>
      <c r="D21" s="12" t="s">
        <v>22</v>
      </c>
      <c r="E21" s="44" t="s">
        <v>33</v>
      </c>
      <c r="F21" s="105">
        <v>0.0</v>
      </c>
      <c r="G21" s="90" t="s">
        <v>24</v>
      </c>
      <c r="H21" s="105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6" t="s">
        <v>162</v>
      </c>
      <c r="D22" s="12" t="s">
        <v>22</v>
      </c>
      <c r="E22" s="44" t="s">
        <v>61</v>
      </c>
      <c r="F22" s="17">
        <v>0.0</v>
      </c>
      <c r="G22" s="90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6" t="s">
        <v>30</v>
      </c>
      <c r="D23" s="12" t="s">
        <v>22</v>
      </c>
      <c r="E23" s="44" t="s">
        <v>115</v>
      </c>
      <c r="F23" s="17"/>
      <c r="G23" s="90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3">
        <v>46062.0</v>
      </c>
      <c r="C24" s="12" t="s">
        <v>153</v>
      </c>
      <c r="D24" s="12" t="s">
        <v>97</v>
      </c>
      <c r="E24" s="44" t="s">
        <v>36</v>
      </c>
      <c r="F24" s="17">
        <v>3.0</v>
      </c>
      <c r="G24" s="90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156</v>
      </c>
      <c r="D25" s="12" t="s">
        <v>97</v>
      </c>
      <c r="E25" s="44" t="s">
        <v>63</v>
      </c>
      <c r="F25" s="17">
        <v>2.0</v>
      </c>
      <c r="G25" s="90" t="s">
        <v>24</v>
      </c>
      <c r="H25" s="17">
        <v>11.0</v>
      </c>
      <c r="I25" s="44" t="s">
        <v>155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35</v>
      </c>
      <c r="D26" s="12" t="s">
        <v>97</v>
      </c>
      <c r="E26" s="44" t="s">
        <v>65</v>
      </c>
      <c r="F26" s="17">
        <v>3.0</v>
      </c>
      <c r="G26" s="90" t="s">
        <v>24</v>
      </c>
      <c r="H26" s="17">
        <v>0.0</v>
      </c>
      <c r="I26" s="44" t="s">
        <v>115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0"/>
      <c r="D27" s="90"/>
      <c r="E27" s="44" t="s">
        <v>61</v>
      </c>
      <c r="F27" s="90"/>
      <c r="G27" s="90" t="s">
        <v>24</v>
      </c>
      <c r="H27" s="90"/>
      <c r="I27" s="117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51</v>
      </c>
      <c r="D28" s="12" t="s">
        <v>97</v>
      </c>
      <c r="E28" s="44" t="s">
        <v>117</v>
      </c>
      <c r="F28" s="105">
        <v>1.0</v>
      </c>
      <c r="G28" s="90" t="s">
        <v>24</v>
      </c>
      <c r="H28" s="105">
        <v>5.0</v>
      </c>
      <c r="I28" s="44" t="s">
        <v>25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3">
        <v>46077.0</v>
      </c>
      <c r="C29" s="12" t="s">
        <v>35</v>
      </c>
      <c r="D29" s="12" t="s">
        <v>22</v>
      </c>
      <c r="E29" s="44" t="s">
        <v>32</v>
      </c>
      <c r="F29" s="17">
        <v>1.0</v>
      </c>
      <c r="G29" s="90" t="s">
        <v>24</v>
      </c>
      <c r="H29" s="17">
        <v>2.0</v>
      </c>
      <c r="I29" s="44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90" t="s">
        <v>24</v>
      </c>
      <c r="H30" s="17">
        <v>8.0</v>
      </c>
      <c r="I30" s="44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153</v>
      </c>
      <c r="D31" s="12" t="s">
        <v>22</v>
      </c>
      <c r="E31" s="44" t="s">
        <v>23</v>
      </c>
      <c r="F31" s="17">
        <v>10.0</v>
      </c>
      <c r="G31" s="90" t="s">
        <v>24</v>
      </c>
      <c r="H31" s="17">
        <v>1.0</v>
      </c>
      <c r="I31" s="44" t="s">
        <v>117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156</v>
      </c>
      <c r="D32" s="12" t="s">
        <v>22</v>
      </c>
      <c r="E32" s="44" t="s">
        <v>25</v>
      </c>
      <c r="F32" s="17"/>
      <c r="G32" s="90" t="s">
        <v>24</v>
      </c>
      <c r="H32" s="17"/>
      <c r="I32" s="14" t="s">
        <v>43</v>
      </c>
      <c r="J32" s="63"/>
      <c r="K32" s="4" t="str">
        <f t="shared" si="1"/>
        <v/>
      </c>
      <c r="L32" s="18" t="str">
        <f t="shared" si="2"/>
        <v/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0"/>
      <c r="D33" s="90"/>
      <c r="E33" s="14" t="s">
        <v>69</v>
      </c>
      <c r="F33" s="17"/>
      <c r="G33" s="90" t="s">
        <v>24</v>
      </c>
      <c r="H33" s="17"/>
      <c r="I33" s="44" t="s">
        <v>115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161</v>
      </c>
      <c r="D34" s="12" t="s">
        <v>97</v>
      </c>
      <c r="E34" s="44" t="s">
        <v>33</v>
      </c>
      <c r="F34" s="17">
        <v>6.0</v>
      </c>
      <c r="G34" s="90" t="s">
        <v>24</v>
      </c>
      <c r="H34" s="17">
        <v>0.0</v>
      </c>
      <c r="I34" s="44" t="s">
        <v>61</v>
      </c>
      <c r="J34" s="63"/>
      <c r="K34" s="4">
        <f t="shared" si="1"/>
        <v>3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36</v>
      </c>
      <c r="F35" s="105">
        <v>6.0</v>
      </c>
      <c r="G35" s="90" t="s">
        <v>24</v>
      </c>
      <c r="H35" s="105">
        <v>0.0</v>
      </c>
      <c r="I35" s="44" t="s">
        <v>155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3">
        <v>46085.0</v>
      </c>
      <c r="C36" s="12" t="s">
        <v>55</v>
      </c>
      <c r="D36" s="12" t="s">
        <v>97</v>
      </c>
      <c r="E36" s="44" t="s">
        <v>115</v>
      </c>
      <c r="F36" s="17">
        <v>3.0</v>
      </c>
      <c r="G36" s="90" t="s">
        <v>24</v>
      </c>
      <c r="H36" s="17">
        <v>3.0</v>
      </c>
      <c r="I36" s="44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162</v>
      </c>
      <c r="D37" s="12" t="s">
        <v>97</v>
      </c>
      <c r="E37" s="44" t="s">
        <v>63</v>
      </c>
      <c r="F37" s="17">
        <v>0.0</v>
      </c>
      <c r="G37" s="90" t="s">
        <v>24</v>
      </c>
      <c r="H37" s="17">
        <v>11.0</v>
      </c>
      <c r="I37" s="44" t="s">
        <v>31</v>
      </c>
      <c r="J37" s="63"/>
      <c r="K37" s="4">
        <f t="shared" si="1"/>
        <v>0</v>
      </c>
      <c r="L37" s="18">
        <f t="shared" si="2"/>
        <v>3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49</v>
      </c>
      <c r="D38" s="12" t="s">
        <v>22</v>
      </c>
      <c r="E38" s="44" t="s">
        <v>61</v>
      </c>
      <c r="F38" s="90"/>
      <c r="G38" s="90" t="s">
        <v>24</v>
      </c>
      <c r="H38" s="90"/>
      <c r="I38" s="44" t="s">
        <v>66</v>
      </c>
      <c r="J38" s="63"/>
      <c r="K38" s="4" t="str">
        <f t="shared" si="1"/>
        <v/>
      </c>
      <c r="L38" s="18" t="str">
        <f t="shared" si="2"/>
        <v/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8"/>
      <c r="D39" s="98"/>
      <c r="E39" s="14" t="s">
        <v>69</v>
      </c>
      <c r="F39" s="90"/>
      <c r="G39" s="90" t="s">
        <v>24</v>
      </c>
      <c r="H39" s="90"/>
      <c r="I39" s="44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153</v>
      </c>
      <c r="D40" s="12" t="s">
        <v>97</v>
      </c>
      <c r="E40" s="44" t="s">
        <v>25</v>
      </c>
      <c r="F40" s="17">
        <v>2.0</v>
      </c>
      <c r="G40" s="90" t="s">
        <v>24</v>
      </c>
      <c r="H40" s="17">
        <v>5.0</v>
      </c>
      <c r="I40" s="44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156</v>
      </c>
      <c r="D41" s="12" t="s">
        <v>97</v>
      </c>
      <c r="E41" s="44" t="s">
        <v>33</v>
      </c>
      <c r="F41" s="17">
        <v>0.0</v>
      </c>
      <c r="G41" s="90" t="s">
        <v>24</v>
      </c>
      <c r="H41" s="17">
        <v>4.0</v>
      </c>
      <c r="I41" s="44" t="s">
        <v>36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35</v>
      </c>
      <c r="D42" s="12" t="s">
        <v>97</v>
      </c>
      <c r="E42" s="44" t="s">
        <v>155</v>
      </c>
      <c r="F42" s="105"/>
      <c r="G42" s="90" t="s">
        <v>24</v>
      </c>
      <c r="H42" s="105"/>
      <c r="I42" s="14" t="s">
        <v>43</v>
      </c>
      <c r="J42" s="63"/>
      <c r="K42" s="4" t="str">
        <f t="shared" si="1"/>
        <v/>
      </c>
      <c r="L42" s="18" t="str">
        <f t="shared" si="2"/>
        <v/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3">
        <v>46091.0</v>
      </c>
      <c r="C43" s="12" t="s">
        <v>55</v>
      </c>
      <c r="D43" s="12" t="s">
        <v>97</v>
      </c>
      <c r="E43" s="44" t="s">
        <v>32</v>
      </c>
      <c r="F43" s="17">
        <v>1.0</v>
      </c>
      <c r="G43" s="90" t="s">
        <v>24</v>
      </c>
      <c r="H43" s="17">
        <v>6.0</v>
      </c>
      <c r="I43" s="44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153</v>
      </c>
      <c r="D44" s="12" t="s">
        <v>97</v>
      </c>
      <c r="E44" s="44" t="s">
        <v>31</v>
      </c>
      <c r="F44" s="17"/>
      <c r="G44" s="90" t="s">
        <v>24</v>
      </c>
      <c r="H44" s="17"/>
      <c r="I44" s="14" t="s">
        <v>43</v>
      </c>
      <c r="J44" s="63"/>
      <c r="K44" s="4" t="str">
        <f t="shared" si="1"/>
        <v/>
      </c>
      <c r="L44" s="18" t="str">
        <f t="shared" si="2"/>
        <v/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153</v>
      </c>
      <c r="D45" s="12" t="s">
        <v>97</v>
      </c>
      <c r="E45" s="44" t="s">
        <v>66</v>
      </c>
      <c r="F45" s="17">
        <v>3.0</v>
      </c>
      <c r="G45" s="90" t="s">
        <v>24</v>
      </c>
      <c r="H45" s="17">
        <v>0.0</v>
      </c>
      <c r="I45" s="44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156</v>
      </c>
      <c r="D46" s="12" t="s">
        <v>97</v>
      </c>
      <c r="E46" s="44" t="s">
        <v>65</v>
      </c>
      <c r="F46" s="17">
        <v>3.0</v>
      </c>
      <c r="G46" s="90" t="s">
        <v>24</v>
      </c>
      <c r="H46" s="17">
        <v>2.0</v>
      </c>
      <c r="I46" s="44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156</v>
      </c>
      <c r="D47" s="12" t="s">
        <v>97</v>
      </c>
      <c r="E47" s="44" t="s">
        <v>117</v>
      </c>
      <c r="F47" s="17">
        <v>1.0</v>
      </c>
      <c r="G47" s="90" t="s">
        <v>24</v>
      </c>
      <c r="H47" s="17">
        <v>2.0</v>
      </c>
      <c r="I47" s="44" t="s">
        <v>155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35</v>
      </c>
      <c r="D48" s="12" t="s">
        <v>97</v>
      </c>
      <c r="E48" s="44" t="s">
        <v>61</v>
      </c>
      <c r="F48" s="17">
        <v>1.0</v>
      </c>
      <c r="G48" s="90" t="s">
        <v>24</v>
      </c>
      <c r="H48" s="17">
        <v>5.0</v>
      </c>
      <c r="I48" s="44" t="s">
        <v>36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0"/>
      <c r="D49" s="90"/>
      <c r="E49" s="118" t="s">
        <v>69</v>
      </c>
      <c r="F49" s="28"/>
      <c r="G49" s="90" t="s">
        <v>24</v>
      </c>
      <c r="H49" s="28"/>
      <c r="I49" s="44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3">
        <v>46105.0</v>
      </c>
      <c r="C50" s="12" t="s">
        <v>153</v>
      </c>
      <c r="D50" s="12" t="s">
        <v>97</v>
      </c>
      <c r="E50" s="44" t="s">
        <v>66</v>
      </c>
      <c r="F50" s="17">
        <v>3.0</v>
      </c>
      <c r="G50" s="90" t="s">
        <v>24</v>
      </c>
      <c r="H50" s="17">
        <v>0.0</v>
      </c>
      <c r="I50" s="44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153</v>
      </c>
      <c r="D51" s="12" t="s">
        <v>97</v>
      </c>
      <c r="E51" s="44" t="s">
        <v>65</v>
      </c>
      <c r="F51" s="17">
        <v>4.0</v>
      </c>
      <c r="G51" s="90" t="s">
        <v>24</v>
      </c>
      <c r="H51" s="17">
        <v>2.0</v>
      </c>
      <c r="I51" s="44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156</v>
      </c>
      <c r="D52" s="12" t="s">
        <v>97</v>
      </c>
      <c r="E52" s="44" t="s">
        <v>155</v>
      </c>
      <c r="F52" s="17">
        <v>2.0</v>
      </c>
      <c r="G52" s="90" t="s">
        <v>24</v>
      </c>
      <c r="H52" s="17">
        <v>8.0</v>
      </c>
      <c r="I52" s="44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97</v>
      </c>
      <c r="E53" s="44" t="s">
        <v>115</v>
      </c>
      <c r="F53" s="17">
        <v>3.0</v>
      </c>
      <c r="G53" s="90" t="s">
        <v>24</v>
      </c>
      <c r="H53" s="17">
        <v>2.0</v>
      </c>
      <c r="I53" s="44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35</v>
      </c>
      <c r="D54" s="12" t="s">
        <v>97</v>
      </c>
      <c r="E54" s="44" t="s">
        <v>36</v>
      </c>
      <c r="F54" s="17"/>
      <c r="G54" s="90" t="s">
        <v>24</v>
      </c>
      <c r="H54" s="17"/>
      <c r="I54" s="14" t="s">
        <v>43</v>
      </c>
      <c r="J54" s="63"/>
      <c r="K54" s="4" t="str">
        <f t="shared" si="1"/>
        <v/>
      </c>
      <c r="L54" s="18" t="str">
        <f t="shared" si="2"/>
        <v/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35</v>
      </c>
      <c r="D55" s="12" t="s">
        <v>97</v>
      </c>
      <c r="E55" s="44" t="s">
        <v>63</v>
      </c>
      <c r="F55" s="17">
        <v>0.0</v>
      </c>
      <c r="G55" s="90" t="s">
        <v>24</v>
      </c>
      <c r="H55" s="17">
        <v>8.0</v>
      </c>
      <c r="I55" s="44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0"/>
      <c r="D56" s="90"/>
      <c r="E56" s="44" t="s">
        <v>61</v>
      </c>
      <c r="F56" s="105"/>
      <c r="G56" s="90" t="s">
        <v>24</v>
      </c>
      <c r="H56" s="105"/>
      <c r="I56" s="44" t="s">
        <v>117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43">
        <v>46133.0</v>
      </c>
      <c r="C57" s="66" t="s">
        <v>156</v>
      </c>
      <c r="D57" s="12" t="s">
        <v>22</v>
      </c>
      <c r="E57" s="44" t="s">
        <v>66</v>
      </c>
      <c r="F57" s="17">
        <v>5.0</v>
      </c>
      <c r="G57" s="90" t="s">
        <v>24</v>
      </c>
      <c r="H57" s="17">
        <v>0.0</v>
      </c>
      <c r="I57" s="44" t="s">
        <v>36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6" t="s">
        <v>55</v>
      </c>
      <c r="D58" s="12" t="s">
        <v>22</v>
      </c>
      <c r="E58" s="44" t="s">
        <v>31</v>
      </c>
      <c r="F58" s="17">
        <v>9.0</v>
      </c>
      <c r="G58" s="90" t="s">
        <v>24</v>
      </c>
      <c r="H58" s="17">
        <v>0.0</v>
      </c>
      <c r="I58" s="44" t="s">
        <v>61</v>
      </c>
      <c r="J58" s="63"/>
      <c r="K58" s="4">
        <f t="shared" si="1"/>
        <v>3</v>
      </c>
      <c r="L58" s="18">
        <f t="shared" si="2"/>
        <v>0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6" t="s">
        <v>153</v>
      </c>
      <c r="D59" s="12" t="s">
        <v>22</v>
      </c>
      <c r="E59" s="44" t="s">
        <v>155</v>
      </c>
      <c r="F59" s="17">
        <v>1.0</v>
      </c>
      <c r="G59" s="90" t="s">
        <v>24</v>
      </c>
      <c r="H59" s="17">
        <v>1.0</v>
      </c>
      <c r="I59" s="44" t="s">
        <v>115</v>
      </c>
      <c r="J59" s="63"/>
      <c r="K59" s="4">
        <f t="shared" si="1"/>
        <v>1</v>
      </c>
      <c r="L59" s="18">
        <f t="shared" si="2"/>
        <v>1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8"/>
      <c r="D60" s="98"/>
      <c r="E60" s="14" t="s">
        <v>43</v>
      </c>
      <c r="F60" s="90"/>
      <c r="G60" s="90" t="s">
        <v>24</v>
      </c>
      <c r="H60" s="90"/>
      <c r="I60" s="116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117</v>
      </c>
      <c r="F61" s="17">
        <v>0.0</v>
      </c>
      <c r="G61" s="90" t="s">
        <v>24</v>
      </c>
      <c r="H61" s="17">
        <v>11.0</v>
      </c>
      <c r="I61" s="44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6" t="s">
        <v>35</v>
      </c>
      <c r="D62" s="12" t="s">
        <v>22</v>
      </c>
      <c r="E62" s="44" t="s">
        <v>23</v>
      </c>
      <c r="F62" s="17">
        <v>3.0</v>
      </c>
      <c r="G62" s="90" t="s">
        <v>24</v>
      </c>
      <c r="H62" s="17">
        <v>0.0</v>
      </c>
      <c r="I62" s="44" t="s">
        <v>63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5">
        <v>10.0</v>
      </c>
      <c r="B63" s="43">
        <v>46146.0</v>
      </c>
      <c r="C63" s="66" t="s">
        <v>35</v>
      </c>
      <c r="D63" s="12" t="s">
        <v>97</v>
      </c>
      <c r="E63" s="44" t="s">
        <v>117</v>
      </c>
      <c r="F63" s="17">
        <v>1.0</v>
      </c>
      <c r="G63" s="90" t="s">
        <v>24</v>
      </c>
      <c r="H63" s="17">
        <v>10.0</v>
      </c>
      <c r="I63" s="44" t="s">
        <v>115</v>
      </c>
      <c r="J63" s="63"/>
      <c r="K63" s="4">
        <f t="shared" si="1"/>
        <v>0</v>
      </c>
      <c r="L63" s="18">
        <f t="shared" si="2"/>
        <v>3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153</v>
      </c>
      <c r="D64" s="12" t="s">
        <v>97</v>
      </c>
      <c r="E64" s="44" t="s">
        <v>23</v>
      </c>
      <c r="F64" s="17">
        <v>0.0</v>
      </c>
      <c r="G64" s="90" t="s">
        <v>24</v>
      </c>
      <c r="H64" s="17">
        <v>4.0</v>
      </c>
      <c r="I64" s="44" t="s">
        <v>66</v>
      </c>
      <c r="J64" s="63"/>
      <c r="K64" s="4">
        <f t="shared" si="1"/>
        <v>0</v>
      </c>
      <c r="L64" s="18">
        <f t="shared" si="2"/>
        <v>3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156</v>
      </c>
      <c r="D65" s="12" t="s">
        <v>97</v>
      </c>
      <c r="E65" s="44" t="s">
        <v>61</v>
      </c>
      <c r="F65" s="17">
        <v>0.0</v>
      </c>
      <c r="G65" s="90" t="s">
        <v>24</v>
      </c>
      <c r="H65" s="17">
        <v>7.0</v>
      </c>
      <c r="I65" s="44" t="s">
        <v>65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0"/>
      <c r="D66" s="90"/>
      <c r="E66" s="44" t="s">
        <v>63</v>
      </c>
      <c r="F66" s="90"/>
      <c r="G66" s="90" t="s">
        <v>24</v>
      </c>
      <c r="H66" s="90"/>
      <c r="I66" s="14" t="s">
        <v>43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5">
        <v>11.0</v>
      </c>
      <c r="B67" s="43">
        <v>46131.0</v>
      </c>
      <c r="C67" s="12" t="s">
        <v>55</v>
      </c>
      <c r="D67" s="12" t="s">
        <v>22</v>
      </c>
      <c r="E67" s="44" t="s">
        <v>66</v>
      </c>
      <c r="F67" s="17">
        <v>11.0</v>
      </c>
      <c r="G67" s="90" t="s">
        <v>24</v>
      </c>
      <c r="H67" s="17">
        <v>0.0</v>
      </c>
      <c r="I67" s="44" t="s">
        <v>155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153</v>
      </c>
      <c r="D68" s="12" t="s">
        <v>22</v>
      </c>
      <c r="E68" s="44" t="s">
        <v>115</v>
      </c>
      <c r="F68" s="17">
        <v>11.0</v>
      </c>
      <c r="G68" s="90" t="s">
        <v>24</v>
      </c>
      <c r="H68" s="17">
        <v>0.0</v>
      </c>
      <c r="I68" s="44" t="s">
        <v>63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156</v>
      </c>
      <c r="D69" s="12" t="s">
        <v>22</v>
      </c>
      <c r="E69" s="44" t="s">
        <v>25</v>
      </c>
      <c r="F69" s="17">
        <v>2.0</v>
      </c>
      <c r="G69" s="90" t="s">
        <v>24</v>
      </c>
      <c r="H69" s="17">
        <v>1.0</v>
      </c>
      <c r="I69" s="44" t="s">
        <v>36</v>
      </c>
      <c r="J69" s="63"/>
      <c r="K69" s="4">
        <f t="shared" si="1"/>
        <v>3</v>
      </c>
      <c r="L69" s="18">
        <f t="shared" si="2"/>
        <v>0</v>
      </c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97</v>
      </c>
      <c r="E70" s="44" t="s">
        <v>33</v>
      </c>
      <c r="F70" s="17">
        <v>1.0</v>
      </c>
      <c r="G70" s="90" t="s">
        <v>24</v>
      </c>
      <c r="H70" s="17">
        <v>3.0</v>
      </c>
      <c r="I70" s="44" t="s">
        <v>31</v>
      </c>
      <c r="J70" s="63"/>
      <c r="K70" s="4">
        <f t="shared" si="1"/>
        <v>0</v>
      </c>
      <c r="L70" s="18">
        <f t="shared" si="2"/>
        <v>3</v>
      </c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163</v>
      </c>
      <c r="H73" s="2"/>
      <c r="I73" s="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3"/>
      <c r="C75" s="12"/>
      <c r="D75" s="12"/>
      <c r="E75" s="119" t="s">
        <v>73</v>
      </c>
      <c r="F75" s="31"/>
      <c r="G75" s="16" t="s">
        <v>24</v>
      </c>
      <c r="H75" s="31"/>
      <c r="I75" s="119" t="s">
        <v>164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/>
      <c r="C76" s="12"/>
      <c r="D76" s="12"/>
      <c r="E76" s="119" t="s">
        <v>75</v>
      </c>
      <c r="F76" s="31"/>
      <c r="G76" s="16" t="s">
        <v>24</v>
      </c>
      <c r="H76" s="31"/>
      <c r="I76" s="119" t="s">
        <v>76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/>
      <c r="C77" s="12"/>
      <c r="D77" s="12"/>
      <c r="E77" s="119" t="s">
        <v>77</v>
      </c>
      <c r="F77" s="31"/>
      <c r="G77" s="16" t="s">
        <v>24</v>
      </c>
      <c r="H77" s="31"/>
      <c r="I77" s="119" t="s">
        <v>78</v>
      </c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/>
      <c r="C78" s="12"/>
      <c r="D78" s="12"/>
      <c r="E78" s="119" t="s">
        <v>79</v>
      </c>
      <c r="F78" s="31"/>
      <c r="G78" s="16" t="s">
        <v>24</v>
      </c>
      <c r="H78" s="31"/>
      <c r="I78" s="119" t="s">
        <v>80</v>
      </c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81</v>
      </c>
      <c r="B79" s="43"/>
      <c r="C79" s="12"/>
      <c r="D79" s="12"/>
      <c r="E79" s="44" t="s">
        <v>82</v>
      </c>
      <c r="F79" s="31"/>
      <c r="G79" s="16" t="s">
        <v>24</v>
      </c>
      <c r="H79" s="31"/>
      <c r="I79" s="44" t="s">
        <v>83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6"/>
      <c r="C80" s="31"/>
      <c r="D80" s="12"/>
      <c r="E80" s="51" t="s">
        <v>84</v>
      </c>
      <c r="F80" s="13"/>
      <c r="G80" s="16" t="s">
        <v>24</v>
      </c>
      <c r="H80" s="13"/>
      <c r="I80" s="44" t="s">
        <v>85</v>
      </c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0" t="s">
        <v>86</v>
      </c>
      <c r="B81" s="30"/>
      <c r="C81" s="31"/>
      <c r="D81" s="12"/>
      <c r="E81" s="44" t="s">
        <v>87</v>
      </c>
      <c r="F81" s="31"/>
      <c r="G81" s="16" t="s">
        <v>24</v>
      </c>
      <c r="H81" s="31"/>
      <c r="I81" s="61" t="s">
        <v>88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0" t="s">
        <v>89</v>
      </c>
      <c r="B82" s="30"/>
      <c r="C82" s="31"/>
      <c r="D82" s="12"/>
      <c r="E82" s="44" t="s">
        <v>90</v>
      </c>
      <c r="F82" s="31"/>
      <c r="G82" s="16" t="s">
        <v>24</v>
      </c>
      <c r="H82" s="31"/>
      <c r="I82" s="44" t="s">
        <v>91</v>
      </c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20" t="s">
        <v>165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121" t="s">
        <v>166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167</v>
      </c>
      <c r="D3" s="12" t="s">
        <v>22</v>
      </c>
      <c r="E3" s="17" t="s">
        <v>36</v>
      </c>
      <c r="F3" s="17">
        <v>3.0</v>
      </c>
      <c r="G3" s="90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2" t="s">
        <v>36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3"/>
      <c r="X3" s="63"/>
      <c r="Y3" s="69" t="s">
        <v>26</v>
      </c>
      <c r="Z3" s="69" t="s">
        <v>13</v>
      </c>
      <c r="AA3" s="123"/>
      <c r="AB3" s="123"/>
      <c r="AC3" s="123"/>
      <c r="AD3" s="63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90" t="s">
        <v>24</v>
      </c>
      <c r="H4" s="17">
        <v>2.0</v>
      </c>
      <c r="I4" s="17" t="s">
        <v>118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2" t="s">
        <v>168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3"/>
      <c r="X4" s="63"/>
      <c r="Y4" s="28" t="s">
        <v>66</v>
      </c>
      <c r="Z4" s="28">
        <v>3.0</v>
      </c>
      <c r="AA4" s="95"/>
      <c r="AB4" s="95"/>
      <c r="AC4" s="95"/>
      <c r="AD4" s="63"/>
      <c r="AE4" s="22" t="s">
        <v>34</v>
      </c>
      <c r="AF4" s="23" t="s">
        <v>168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169</v>
      </c>
      <c r="F5" s="17">
        <v>1.0</v>
      </c>
      <c r="G5" s="90" t="s">
        <v>24</v>
      </c>
      <c r="H5" s="17">
        <v>1.0</v>
      </c>
      <c r="I5" s="17" t="s">
        <v>170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2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3"/>
      <c r="X5" s="63"/>
      <c r="Y5" s="28" t="s">
        <v>36</v>
      </c>
      <c r="Z5" s="28">
        <v>0.0</v>
      </c>
      <c r="AA5" s="95"/>
      <c r="AB5" s="95"/>
      <c r="AC5" s="95"/>
      <c r="AD5" s="63"/>
      <c r="AE5" s="22" t="s">
        <v>38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90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2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3"/>
      <c r="X6" s="63"/>
      <c r="Y6" s="63"/>
      <c r="Z6" s="63"/>
      <c r="AA6" s="63"/>
      <c r="AB6" s="63"/>
      <c r="AC6" s="63"/>
      <c r="AD6" s="63"/>
      <c r="AE6" s="22" t="s">
        <v>42</v>
      </c>
      <c r="AF6" s="23" t="s">
        <v>118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90" t="s">
        <v>24</v>
      </c>
      <c r="H7" s="17">
        <v>4.0</v>
      </c>
      <c r="I7" s="17" t="s">
        <v>115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2" t="s">
        <v>118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115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171</v>
      </c>
      <c r="F8" s="17">
        <v>2.0</v>
      </c>
      <c r="G8" s="90" t="s">
        <v>24</v>
      </c>
      <c r="H8" s="17">
        <v>3.0</v>
      </c>
      <c r="I8" s="44" t="s">
        <v>168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2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3"/>
      <c r="X8" s="63"/>
      <c r="Y8" s="63"/>
      <c r="Z8" s="63"/>
      <c r="AA8" s="63"/>
      <c r="AB8" s="63"/>
      <c r="AC8" s="63"/>
      <c r="AD8" s="63"/>
      <c r="AE8" s="52">
        <v>6.0</v>
      </c>
      <c r="AF8" s="23" t="s">
        <v>170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172</v>
      </c>
      <c r="D9" s="12" t="s">
        <v>97</v>
      </c>
      <c r="E9" s="17" t="s">
        <v>33</v>
      </c>
      <c r="F9" s="17">
        <v>6.0</v>
      </c>
      <c r="G9" s="90" t="s">
        <v>24</v>
      </c>
      <c r="H9" s="17">
        <v>0.0</v>
      </c>
      <c r="I9" s="17" t="s">
        <v>171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2" t="s">
        <v>170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162</v>
      </c>
      <c r="D10" s="12" t="s">
        <v>97</v>
      </c>
      <c r="E10" s="17" t="s">
        <v>118</v>
      </c>
      <c r="F10" s="17">
        <v>2.0</v>
      </c>
      <c r="G10" s="90" t="s">
        <v>24</v>
      </c>
      <c r="H10" s="17">
        <v>1.0</v>
      </c>
      <c r="I10" s="17" t="s">
        <v>36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2" t="s">
        <v>169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156</v>
      </c>
      <c r="D11" s="12" t="s">
        <v>97</v>
      </c>
      <c r="E11" s="17" t="s">
        <v>170</v>
      </c>
      <c r="F11" s="17">
        <v>2.0</v>
      </c>
      <c r="G11" s="90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2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104</v>
      </c>
      <c r="AF11" s="23" t="s">
        <v>169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90" t="s">
        <v>24</v>
      </c>
      <c r="H12" s="17">
        <v>3.0</v>
      </c>
      <c r="I12" s="17" t="s">
        <v>169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2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3"/>
      <c r="X12" s="63"/>
      <c r="Y12" s="28" t="s">
        <v>173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171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115</v>
      </c>
      <c r="F13" s="17">
        <v>3.0</v>
      </c>
      <c r="G13" s="90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2" t="s">
        <v>115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3"/>
      <c r="X13" s="63"/>
      <c r="Y13" s="63"/>
      <c r="Z13" s="63"/>
      <c r="AA13" s="63"/>
      <c r="AB13" s="63"/>
      <c r="AC13" s="63"/>
      <c r="AD13" s="63"/>
      <c r="AE13" s="124">
        <v>11.0</v>
      </c>
      <c r="AF13" s="48" t="s">
        <v>36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168</v>
      </c>
      <c r="F14" s="17">
        <v>3.0</v>
      </c>
      <c r="G14" s="90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2" t="s">
        <v>171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3"/>
      <c r="X14" s="63"/>
      <c r="Y14" s="63"/>
      <c r="Z14" s="63"/>
      <c r="AA14" s="63"/>
      <c r="AB14" s="63"/>
      <c r="AC14" s="63"/>
      <c r="AD14" s="63"/>
      <c r="AE14" s="124">
        <v>12.0</v>
      </c>
      <c r="AF14" s="90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35</v>
      </c>
      <c r="D15" s="12" t="s">
        <v>22</v>
      </c>
      <c r="E15" s="17" t="s">
        <v>33</v>
      </c>
      <c r="F15" s="17">
        <v>5.0</v>
      </c>
      <c r="G15" s="90" t="s">
        <v>24</v>
      </c>
      <c r="H15" s="17">
        <v>0.0</v>
      </c>
      <c r="I15" s="17" t="s">
        <v>118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174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36</v>
      </c>
      <c r="F16" s="17">
        <v>0.0</v>
      </c>
      <c r="G16" s="90" t="s">
        <v>24</v>
      </c>
      <c r="H16" s="17">
        <v>8.0</v>
      </c>
      <c r="I16" s="17" t="s">
        <v>170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90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97</v>
      </c>
      <c r="E18" s="17" t="s">
        <v>169</v>
      </c>
      <c r="F18" s="17">
        <v>2.0</v>
      </c>
      <c r="G18" s="90" t="s">
        <v>24</v>
      </c>
      <c r="H18" s="17">
        <v>2.0</v>
      </c>
      <c r="I18" s="17" t="s">
        <v>115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35</v>
      </c>
      <c r="D19" s="12" t="s">
        <v>22</v>
      </c>
      <c r="E19" s="44" t="s">
        <v>25</v>
      </c>
      <c r="F19" s="17">
        <v>0.0</v>
      </c>
      <c r="G19" s="90" t="s">
        <v>24</v>
      </c>
      <c r="H19" s="17">
        <v>3.0</v>
      </c>
      <c r="I19" s="44" t="s">
        <v>168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171</v>
      </c>
      <c r="F20" s="17">
        <v>10.0</v>
      </c>
      <c r="G20" s="90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35</v>
      </c>
      <c r="D21" s="12" t="s">
        <v>22</v>
      </c>
      <c r="E21" s="17" t="s">
        <v>118</v>
      </c>
      <c r="F21" s="17">
        <v>3.0</v>
      </c>
      <c r="G21" s="90" t="s">
        <v>24</v>
      </c>
      <c r="H21" s="17">
        <v>0.0</v>
      </c>
      <c r="I21" s="17" t="s">
        <v>171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170</v>
      </c>
      <c r="F22" s="17">
        <v>2.0</v>
      </c>
      <c r="G22" s="90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90" t="s">
        <v>24</v>
      </c>
      <c r="H23" s="17">
        <v>2.0</v>
      </c>
      <c r="I23" s="17" t="s">
        <v>36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115</v>
      </c>
      <c r="F24" s="17">
        <v>1.0</v>
      </c>
      <c r="G24" s="90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168</v>
      </c>
      <c r="F25" s="17">
        <v>5.0</v>
      </c>
      <c r="G25" s="90" t="s">
        <v>24</v>
      </c>
      <c r="H25" s="17">
        <v>1.0</v>
      </c>
      <c r="I25" s="44" t="s">
        <v>169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35</v>
      </c>
      <c r="D26" s="12" t="s">
        <v>22</v>
      </c>
      <c r="E26" s="17" t="s">
        <v>45</v>
      </c>
      <c r="F26" s="17">
        <v>1.0</v>
      </c>
      <c r="G26" s="90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35</v>
      </c>
      <c r="D27" s="12" t="s">
        <v>22</v>
      </c>
      <c r="E27" s="17" t="s">
        <v>118</v>
      </c>
      <c r="F27" s="17">
        <v>6.0</v>
      </c>
      <c r="G27" s="90" t="s">
        <v>24</v>
      </c>
      <c r="H27" s="17">
        <v>2.0</v>
      </c>
      <c r="I27" s="17" t="s">
        <v>170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90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97</v>
      </c>
      <c r="E29" s="17" t="s">
        <v>36</v>
      </c>
      <c r="F29" s="17">
        <v>1.0</v>
      </c>
      <c r="G29" s="90" t="s">
        <v>24</v>
      </c>
      <c r="H29" s="17">
        <v>2.0</v>
      </c>
      <c r="I29" s="17" t="s">
        <v>115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35</v>
      </c>
      <c r="D30" s="12" t="s">
        <v>22</v>
      </c>
      <c r="E30" s="44" t="s">
        <v>23</v>
      </c>
      <c r="F30" s="17">
        <v>2.0</v>
      </c>
      <c r="G30" s="90" t="s">
        <v>24</v>
      </c>
      <c r="H30" s="17">
        <v>2.0</v>
      </c>
      <c r="I30" s="44" t="s">
        <v>168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97</v>
      </c>
      <c r="E31" s="17" t="s">
        <v>169</v>
      </c>
      <c r="F31" s="17">
        <v>7.0</v>
      </c>
      <c r="G31" s="90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35</v>
      </c>
      <c r="D32" s="12" t="s">
        <v>22</v>
      </c>
      <c r="E32" s="17" t="s">
        <v>171</v>
      </c>
      <c r="F32" s="17">
        <v>6.0</v>
      </c>
      <c r="G32" s="90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129</v>
      </c>
      <c r="D33" s="12" t="s">
        <v>97</v>
      </c>
      <c r="E33" s="17" t="s">
        <v>170</v>
      </c>
      <c r="F33" s="17">
        <v>2.0</v>
      </c>
      <c r="G33" s="90" t="s">
        <v>24</v>
      </c>
      <c r="H33" s="17">
        <v>0.0</v>
      </c>
      <c r="I33" s="17" t="s">
        <v>171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158</v>
      </c>
      <c r="D34" s="12" t="s">
        <v>97</v>
      </c>
      <c r="E34" s="17" t="s">
        <v>66</v>
      </c>
      <c r="F34" s="17">
        <v>2.0</v>
      </c>
      <c r="G34" s="90" t="s">
        <v>24</v>
      </c>
      <c r="H34" s="17">
        <v>2.0</v>
      </c>
      <c r="I34" s="17" t="s">
        <v>118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172</v>
      </c>
      <c r="D35" s="12" t="s">
        <v>97</v>
      </c>
      <c r="E35" s="17" t="s">
        <v>115</v>
      </c>
      <c r="F35" s="17">
        <v>0.0</v>
      </c>
      <c r="G35" s="90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162</v>
      </c>
      <c r="D36" s="12" t="s">
        <v>97</v>
      </c>
      <c r="E36" s="44" t="s">
        <v>168</v>
      </c>
      <c r="F36" s="17">
        <v>4.0</v>
      </c>
      <c r="G36" s="90" t="s">
        <v>24</v>
      </c>
      <c r="H36" s="17">
        <v>2.0</v>
      </c>
      <c r="I36" s="44" t="s">
        <v>36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156</v>
      </c>
      <c r="D37" s="12" t="s">
        <v>97</v>
      </c>
      <c r="E37" s="17" t="s">
        <v>45</v>
      </c>
      <c r="F37" s="17">
        <v>1.0</v>
      </c>
      <c r="G37" s="90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154</v>
      </c>
      <c r="D38" s="12" t="s">
        <v>97</v>
      </c>
      <c r="E38" s="17" t="s">
        <v>25</v>
      </c>
      <c r="F38" s="17">
        <v>4.0</v>
      </c>
      <c r="G38" s="90" t="s">
        <v>24</v>
      </c>
      <c r="H38" s="17">
        <v>1.0</v>
      </c>
      <c r="I38" s="17" t="s">
        <v>169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97</v>
      </c>
      <c r="E39" s="17" t="s">
        <v>170</v>
      </c>
      <c r="F39" s="17">
        <v>6.0</v>
      </c>
      <c r="G39" s="90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97</v>
      </c>
      <c r="E40" s="17" t="s">
        <v>118</v>
      </c>
      <c r="F40" s="17">
        <v>3.0</v>
      </c>
      <c r="G40" s="90" t="s">
        <v>24</v>
      </c>
      <c r="H40" s="17">
        <v>0.0</v>
      </c>
      <c r="I40" s="14" t="s">
        <v>115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97</v>
      </c>
      <c r="E41" s="44" t="s">
        <v>33</v>
      </c>
      <c r="F41" s="17">
        <v>4.0</v>
      </c>
      <c r="G41" s="90" t="s">
        <v>24</v>
      </c>
      <c r="H41" s="17">
        <v>3.0</v>
      </c>
      <c r="I41" s="44" t="s">
        <v>168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97</v>
      </c>
      <c r="E42" s="17" t="s">
        <v>36</v>
      </c>
      <c r="F42" s="17">
        <v>5.0</v>
      </c>
      <c r="G42" s="90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90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97</v>
      </c>
      <c r="E44" s="17" t="s">
        <v>171</v>
      </c>
      <c r="F44" s="17">
        <v>2.0</v>
      </c>
      <c r="G44" s="90" t="s">
        <v>24</v>
      </c>
      <c r="H44" s="17">
        <v>4.0</v>
      </c>
      <c r="I44" s="17" t="s">
        <v>169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97</v>
      </c>
      <c r="E45" s="17" t="s">
        <v>66</v>
      </c>
      <c r="F45" s="17">
        <v>6.0</v>
      </c>
      <c r="G45" s="90" t="s">
        <v>24</v>
      </c>
      <c r="H45" s="17">
        <v>2.0</v>
      </c>
      <c r="I45" s="17" t="s">
        <v>171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97</v>
      </c>
      <c r="E46" s="17" t="s">
        <v>115</v>
      </c>
      <c r="F46" s="17">
        <v>3.0</v>
      </c>
      <c r="G46" s="90" t="s">
        <v>24</v>
      </c>
      <c r="H46" s="17">
        <v>3.0</v>
      </c>
      <c r="I46" s="17" t="s">
        <v>170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97</v>
      </c>
      <c r="E47" s="44" t="s">
        <v>168</v>
      </c>
      <c r="F47" s="17">
        <v>3.0</v>
      </c>
      <c r="G47" s="90" t="s">
        <v>24</v>
      </c>
      <c r="H47" s="17">
        <v>0.0</v>
      </c>
      <c r="I47" s="17" t="s">
        <v>118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97</v>
      </c>
      <c r="E48" s="44" t="s">
        <v>45</v>
      </c>
      <c r="F48" s="17">
        <v>0.0</v>
      </c>
      <c r="G48" s="90" t="s">
        <v>24</v>
      </c>
      <c r="H48" s="17">
        <v>2.0</v>
      </c>
      <c r="I48" s="44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90" t="s">
        <v>24</v>
      </c>
      <c r="H49" s="17">
        <v>0.0</v>
      </c>
      <c r="I49" s="17" t="s">
        <v>36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97</v>
      </c>
      <c r="E50" s="17" t="s">
        <v>169</v>
      </c>
      <c r="F50" s="17">
        <v>3.0</v>
      </c>
      <c r="G50" s="90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97</v>
      </c>
      <c r="E51" s="17" t="s">
        <v>66</v>
      </c>
      <c r="F51" s="17">
        <v>3.0</v>
      </c>
      <c r="G51" s="90" t="s">
        <v>24</v>
      </c>
      <c r="H51" s="17">
        <v>3.0</v>
      </c>
      <c r="I51" s="17" t="s">
        <v>115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97</v>
      </c>
      <c r="E52" s="44" t="s">
        <v>170</v>
      </c>
      <c r="F52" s="17">
        <v>3.0</v>
      </c>
      <c r="G52" s="90" t="s">
        <v>24</v>
      </c>
      <c r="H52" s="17">
        <v>7.0</v>
      </c>
      <c r="I52" s="44" t="s">
        <v>168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97</v>
      </c>
      <c r="E53" s="17" t="s">
        <v>118</v>
      </c>
      <c r="F53" s="17">
        <v>10.0</v>
      </c>
      <c r="G53" s="90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90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172</v>
      </c>
      <c r="D55" s="12" t="s">
        <v>97</v>
      </c>
      <c r="E55" s="17" t="s">
        <v>36</v>
      </c>
      <c r="F55" s="17">
        <v>3.0</v>
      </c>
      <c r="G55" s="90" t="s">
        <v>24</v>
      </c>
      <c r="H55" s="17">
        <v>7.0</v>
      </c>
      <c r="I55" s="17" t="s">
        <v>169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97</v>
      </c>
      <c r="E56" s="17" t="s">
        <v>171</v>
      </c>
      <c r="F56" s="17">
        <v>2.0</v>
      </c>
      <c r="G56" s="90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97</v>
      </c>
      <c r="E57" s="17" t="s">
        <v>171</v>
      </c>
      <c r="F57" s="17">
        <v>3.0</v>
      </c>
      <c r="G57" s="90" t="s">
        <v>24</v>
      </c>
      <c r="H57" s="17">
        <v>1.0</v>
      </c>
      <c r="I57" s="17" t="s">
        <v>115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97</v>
      </c>
      <c r="E58" s="44" t="s">
        <v>168</v>
      </c>
      <c r="F58" s="17">
        <v>4.0</v>
      </c>
      <c r="G58" s="90" t="s">
        <v>24</v>
      </c>
      <c r="H58" s="17">
        <v>4.0</v>
      </c>
      <c r="I58" s="44" t="s">
        <v>66</v>
      </c>
      <c r="J58" s="63"/>
      <c r="K58" s="4">
        <f t="shared" si="1"/>
        <v>1</v>
      </c>
      <c r="L58" s="18">
        <f t="shared" si="2"/>
        <v>1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167</v>
      </c>
      <c r="D59" s="12" t="s">
        <v>22</v>
      </c>
      <c r="E59" s="17" t="s">
        <v>45</v>
      </c>
      <c r="F59" s="17">
        <v>0.0</v>
      </c>
      <c r="G59" s="90" t="s">
        <v>24</v>
      </c>
      <c r="H59" s="17">
        <v>3.0</v>
      </c>
      <c r="I59" s="17" t="s">
        <v>170</v>
      </c>
      <c r="J59" s="63"/>
      <c r="K59" s="4">
        <f t="shared" si="1"/>
        <v>0</v>
      </c>
      <c r="L59" s="18">
        <f t="shared" si="2"/>
        <v>3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97</v>
      </c>
      <c r="E60" s="17" t="s">
        <v>25</v>
      </c>
      <c r="F60" s="17">
        <v>1.0</v>
      </c>
      <c r="G60" s="90" t="s">
        <v>24</v>
      </c>
      <c r="H60" s="17">
        <v>1.0</v>
      </c>
      <c r="I60" s="17" t="s">
        <v>118</v>
      </c>
      <c r="J60" s="63"/>
      <c r="K60" s="4">
        <f t="shared" si="1"/>
        <v>1</v>
      </c>
      <c r="L60" s="18">
        <f t="shared" si="2"/>
        <v>1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169</v>
      </c>
      <c r="F61" s="17">
        <v>1.0</v>
      </c>
      <c r="G61" s="90" t="s">
        <v>24</v>
      </c>
      <c r="H61" s="17">
        <v>4.0</v>
      </c>
      <c r="I61" s="17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97</v>
      </c>
      <c r="E62" s="17" t="s">
        <v>23</v>
      </c>
      <c r="F62" s="17">
        <v>5.0</v>
      </c>
      <c r="G62" s="90" t="s">
        <v>24</v>
      </c>
      <c r="H62" s="17">
        <v>2.0</v>
      </c>
      <c r="I62" s="17" t="s">
        <v>36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115</v>
      </c>
      <c r="F63" s="17">
        <v>10.0</v>
      </c>
      <c r="G63" s="90" t="s">
        <v>24</v>
      </c>
      <c r="H63" s="17">
        <v>6.0</v>
      </c>
      <c r="I63" s="44" t="s">
        <v>168</v>
      </c>
      <c r="J63" s="63"/>
      <c r="K63" s="4">
        <f t="shared" si="1"/>
        <v>3</v>
      </c>
      <c r="L63" s="18">
        <f t="shared" si="2"/>
        <v>0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97</v>
      </c>
      <c r="E64" s="44" t="s">
        <v>66</v>
      </c>
      <c r="F64" s="17">
        <v>11.0</v>
      </c>
      <c r="G64" s="90" t="s">
        <v>24</v>
      </c>
      <c r="H64" s="17">
        <v>0.0</v>
      </c>
      <c r="I64" s="44" t="s">
        <v>45</v>
      </c>
      <c r="J64" s="63"/>
      <c r="K64" s="4">
        <f t="shared" si="1"/>
        <v>3</v>
      </c>
      <c r="L64" s="18">
        <f t="shared" si="2"/>
        <v>0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97</v>
      </c>
      <c r="E65" s="44" t="s">
        <v>170</v>
      </c>
      <c r="F65" s="17">
        <v>1.0</v>
      </c>
      <c r="G65" s="90" t="s">
        <v>24</v>
      </c>
      <c r="H65" s="17">
        <v>2.0</v>
      </c>
      <c r="I65" s="44" t="s">
        <v>25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167</v>
      </c>
      <c r="D66" s="12" t="s">
        <v>22</v>
      </c>
      <c r="E66" s="17" t="s">
        <v>118</v>
      </c>
      <c r="F66" s="17">
        <v>7.0</v>
      </c>
      <c r="G66" s="90" t="s">
        <v>24</v>
      </c>
      <c r="H66" s="17">
        <v>5.0</v>
      </c>
      <c r="I66" s="44" t="s">
        <v>169</v>
      </c>
      <c r="J66" s="63"/>
      <c r="K66" s="4">
        <f t="shared" si="1"/>
        <v>3</v>
      </c>
      <c r="L66" s="18">
        <f t="shared" si="2"/>
        <v>0</v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97</v>
      </c>
      <c r="E67" s="44" t="s">
        <v>33</v>
      </c>
      <c r="F67" s="17">
        <v>10.0</v>
      </c>
      <c r="G67" s="90" t="s">
        <v>24</v>
      </c>
      <c r="H67" s="17">
        <v>2.0</v>
      </c>
      <c r="I67" s="44" t="s">
        <v>23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97</v>
      </c>
      <c r="E68" s="44" t="s">
        <v>36</v>
      </c>
      <c r="F68" s="17">
        <v>7.0</v>
      </c>
      <c r="G68" s="90" t="s">
        <v>24</v>
      </c>
      <c r="H68" s="17">
        <v>3.0</v>
      </c>
      <c r="I68" s="44" t="s">
        <v>171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20" t="s">
        <v>175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4" t="s">
        <v>117</v>
      </c>
      <c r="F75" s="44">
        <v>3.0</v>
      </c>
      <c r="G75" s="90" t="s">
        <v>24</v>
      </c>
      <c r="H75" s="44">
        <v>1.0</v>
      </c>
      <c r="I75" s="44" t="s">
        <v>120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6" t="s">
        <v>120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3"/>
      <c r="X75" s="63"/>
      <c r="Y75" s="63"/>
      <c r="Z75" s="63"/>
      <c r="AA75" s="63"/>
      <c r="AB75" s="63"/>
      <c r="AC75" s="63"/>
      <c r="AD75" s="63"/>
      <c r="AE75" s="45" t="s">
        <v>29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97</v>
      </c>
      <c r="E76" s="44" t="s">
        <v>67</v>
      </c>
      <c r="F76" s="44">
        <v>0.0</v>
      </c>
      <c r="G76" s="90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6" t="s">
        <v>117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3"/>
      <c r="X76" s="63"/>
      <c r="Y76" s="63"/>
      <c r="Z76" s="63"/>
      <c r="AA76" s="63"/>
      <c r="AB76" s="63"/>
      <c r="AC76" s="63"/>
      <c r="AD76" s="63"/>
      <c r="AE76" s="125" t="s">
        <v>119</v>
      </c>
      <c r="AF76" s="23" t="s">
        <v>32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4" t="s">
        <v>32</v>
      </c>
      <c r="F77" s="44">
        <v>12.0</v>
      </c>
      <c r="G77" s="90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6" t="s">
        <v>67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63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97</v>
      </c>
      <c r="E78" s="44" t="s">
        <v>63</v>
      </c>
      <c r="F78" s="44">
        <v>12.0</v>
      </c>
      <c r="G78" s="90" t="s">
        <v>24</v>
      </c>
      <c r="H78" s="44">
        <v>3.0</v>
      </c>
      <c r="I78" s="44" t="s">
        <v>176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6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117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6"/>
      <c r="C79" s="90"/>
      <c r="D79" s="67"/>
      <c r="E79" s="44" t="s">
        <v>59</v>
      </c>
      <c r="F79" s="67"/>
      <c r="G79" s="90" t="s">
        <v>24</v>
      </c>
      <c r="H79" s="67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6" t="s">
        <v>63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67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7">
        <v>45957.0</v>
      </c>
      <c r="C80" s="39" t="s">
        <v>51</v>
      </c>
      <c r="D80" s="39" t="s">
        <v>97</v>
      </c>
      <c r="E80" s="44" t="s">
        <v>120</v>
      </c>
      <c r="F80" s="44">
        <v>3.0</v>
      </c>
      <c r="G80" s="90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6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7"/>
      <c r="C81" s="98"/>
      <c r="D81" s="94"/>
      <c r="E81" s="44">
        <v>0.0</v>
      </c>
      <c r="F81" s="67"/>
      <c r="G81" s="90" t="s">
        <v>24</v>
      </c>
      <c r="H81" s="67"/>
      <c r="I81" s="44" t="s">
        <v>117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6" t="s">
        <v>176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7">
        <v>45957.0</v>
      </c>
      <c r="C82" s="12" t="s">
        <v>55</v>
      </c>
      <c r="D82" s="39" t="s">
        <v>97</v>
      </c>
      <c r="E82" s="44" t="s">
        <v>43</v>
      </c>
      <c r="F82" s="44">
        <v>2.0</v>
      </c>
      <c r="G82" s="90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6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176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7">
        <v>45957.0</v>
      </c>
      <c r="C83" s="12" t="s">
        <v>52</v>
      </c>
      <c r="D83" s="39" t="s">
        <v>97</v>
      </c>
      <c r="E83" s="44" t="s">
        <v>68</v>
      </c>
      <c r="F83" s="44">
        <v>4.0</v>
      </c>
      <c r="G83" s="90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6" t="s">
        <v>43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120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7">
        <v>45957.0</v>
      </c>
      <c r="C84" s="12" t="s">
        <v>53</v>
      </c>
      <c r="D84" s="39" t="s">
        <v>97</v>
      </c>
      <c r="E84" s="44" t="s">
        <v>176</v>
      </c>
      <c r="F84" s="44">
        <v>2.0</v>
      </c>
      <c r="G84" s="90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177</v>
      </c>
      <c r="AH84" s="32"/>
      <c r="AI84" s="32"/>
      <c r="AJ84" s="32"/>
      <c r="AK84" s="32"/>
      <c r="AL84" s="128"/>
      <c r="AM84" s="128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90" t="s">
        <v>24</v>
      </c>
      <c r="H85" s="44">
        <v>4.0</v>
      </c>
      <c r="I85" s="44" t="s">
        <v>120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178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7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90" t="s">
        <v>24</v>
      </c>
      <c r="H86" s="44">
        <v>5.0</v>
      </c>
      <c r="I86" s="44" t="s">
        <v>117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J86" s="18"/>
      <c r="AK86" s="18"/>
      <c r="AL86" s="18"/>
      <c r="AM86" s="18"/>
      <c r="AN86" s="4"/>
    </row>
    <row r="87" ht="15.75" customHeight="1">
      <c r="A87" s="25"/>
      <c r="B87" s="127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90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J87" s="4"/>
      <c r="AK87" s="4"/>
      <c r="AL87" s="4"/>
      <c r="AM87" s="4"/>
      <c r="AN87" s="4"/>
    </row>
    <row r="88" ht="15.75" customHeight="1">
      <c r="A88" s="25"/>
      <c r="B88" s="127">
        <v>45973.0</v>
      </c>
      <c r="C88" s="39" t="s">
        <v>167</v>
      </c>
      <c r="D88" s="39" t="s">
        <v>22</v>
      </c>
      <c r="E88" s="44" t="s">
        <v>59</v>
      </c>
      <c r="F88" s="44">
        <v>5.0</v>
      </c>
      <c r="G88" s="90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E88" s="81" t="s">
        <v>111</v>
      </c>
      <c r="AF88" s="82"/>
      <c r="AG88" s="82"/>
      <c r="AH88" s="82"/>
      <c r="AI88" s="82"/>
      <c r="AJ88" s="82"/>
      <c r="AK88" s="82"/>
      <c r="AL88" s="82"/>
      <c r="AM88" s="83"/>
      <c r="AN88" s="4"/>
    </row>
    <row r="89" ht="15.75" customHeight="1">
      <c r="A89" s="25"/>
      <c r="B89" s="126"/>
      <c r="C89" s="90"/>
      <c r="D89" s="90"/>
      <c r="E89" s="44">
        <v>0.0</v>
      </c>
      <c r="F89" s="67"/>
      <c r="G89" s="90" t="s">
        <v>24</v>
      </c>
      <c r="H89" s="67"/>
      <c r="I89" s="44" t="s">
        <v>176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E89" s="84"/>
      <c r="AF89" s="85"/>
      <c r="AG89" s="85"/>
      <c r="AH89" s="85"/>
      <c r="AI89" s="85"/>
      <c r="AJ89" s="85"/>
      <c r="AK89" s="85"/>
      <c r="AL89" s="85"/>
      <c r="AM89" s="86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120</v>
      </c>
      <c r="F90" s="44">
        <v>0.0</v>
      </c>
      <c r="G90" s="90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E90" s="5" t="s">
        <v>11</v>
      </c>
      <c r="AF90" s="5" t="s">
        <v>12</v>
      </c>
      <c r="AG90" s="5" t="s">
        <v>13</v>
      </c>
      <c r="AH90" s="5" t="s">
        <v>14</v>
      </c>
      <c r="AI90" s="5" t="s">
        <v>15</v>
      </c>
      <c r="AJ90" s="5" t="s">
        <v>16</v>
      </c>
      <c r="AK90" s="5" t="s">
        <v>17</v>
      </c>
      <c r="AL90" s="5" t="s">
        <v>18</v>
      </c>
      <c r="AM90" s="5" t="s">
        <v>19</v>
      </c>
      <c r="AN90" s="37"/>
    </row>
    <row r="91" ht="15.75" customHeight="1">
      <c r="A91" s="25"/>
      <c r="B91" s="11">
        <v>45992.0</v>
      </c>
      <c r="C91" s="12" t="s">
        <v>35</v>
      </c>
      <c r="D91" s="39" t="s">
        <v>22</v>
      </c>
      <c r="E91" s="44" t="s">
        <v>117</v>
      </c>
      <c r="F91" s="44">
        <v>2.0</v>
      </c>
      <c r="G91" s="90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45" t="s">
        <v>29</v>
      </c>
      <c r="AF91" s="23" t="s">
        <v>32</v>
      </c>
      <c r="AG91" s="23">
        <v>18.0</v>
      </c>
      <c r="AH91" s="23">
        <v>6.0</v>
      </c>
      <c r="AI91" s="23">
        <v>0.0</v>
      </c>
      <c r="AJ91" s="23">
        <v>2.0</v>
      </c>
      <c r="AK91" s="61">
        <v>46.0</v>
      </c>
      <c r="AL91" s="61">
        <v>19.0</v>
      </c>
      <c r="AM91" s="61">
        <v>27.0</v>
      </c>
      <c r="AN91" s="4"/>
    </row>
    <row r="92" ht="15.75" customHeight="1">
      <c r="A92" s="25"/>
      <c r="B92" s="129"/>
      <c r="C92" s="98"/>
      <c r="D92" s="90"/>
      <c r="E92" s="44" t="s">
        <v>67</v>
      </c>
      <c r="F92" s="67"/>
      <c r="G92" s="90" t="s">
        <v>24</v>
      </c>
      <c r="H92" s="67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125" t="s">
        <v>119</v>
      </c>
      <c r="AF92" s="23" t="s">
        <v>43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90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22">
        <v>3.0</v>
      </c>
      <c r="AF93" s="23" t="s">
        <v>117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90" t="s">
        <v>24</v>
      </c>
      <c r="H94" s="44">
        <v>0.0</v>
      </c>
      <c r="I94" s="44" t="s">
        <v>176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22">
        <v>4.0</v>
      </c>
      <c r="AF94" s="23" t="s">
        <v>63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97</v>
      </c>
      <c r="E95" s="44" t="s">
        <v>59</v>
      </c>
      <c r="F95" s="44">
        <v>2.0</v>
      </c>
      <c r="G95" s="90" t="s">
        <v>24</v>
      </c>
      <c r="H95" s="44">
        <v>3.0</v>
      </c>
      <c r="I95" s="44" t="s">
        <v>120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22">
        <v>5.0</v>
      </c>
      <c r="AF95" s="23" t="s">
        <v>67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4" t="s">
        <v>63</v>
      </c>
      <c r="F96" s="44">
        <v>0.0</v>
      </c>
      <c r="G96" s="90" t="s">
        <v>24</v>
      </c>
      <c r="H96" s="44">
        <v>1.0</v>
      </c>
      <c r="I96" s="44" t="s">
        <v>117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22">
        <v>6.0</v>
      </c>
      <c r="AF96" s="23" t="s">
        <v>68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53</v>
      </c>
      <c r="D97" s="39" t="s">
        <v>97</v>
      </c>
      <c r="E97" s="44" t="s">
        <v>32</v>
      </c>
      <c r="F97" s="44">
        <v>4.0</v>
      </c>
      <c r="G97" s="90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22">
        <v>7.0</v>
      </c>
      <c r="AF97" s="23" t="s">
        <v>59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55</v>
      </c>
      <c r="D98" s="39" t="s">
        <v>97</v>
      </c>
      <c r="E98" s="44" t="s">
        <v>176</v>
      </c>
      <c r="F98" s="44">
        <v>0.0</v>
      </c>
      <c r="G98" s="90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22">
        <v>8.0</v>
      </c>
      <c r="AF98" s="23" t="s">
        <v>176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6"/>
      <c r="C99" s="90"/>
      <c r="D99" s="90"/>
      <c r="E99" s="44">
        <v>0.0</v>
      </c>
      <c r="F99" s="67"/>
      <c r="G99" s="90" t="s">
        <v>24</v>
      </c>
      <c r="H99" s="67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22">
        <v>9.0</v>
      </c>
      <c r="AF99" s="23" t="s">
        <v>120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4" t="s">
        <v>120</v>
      </c>
      <c r="F100" s="44">
        <v>1.0</v>
      </c>
      <c r="G100" s="90" t="s">
        <v>24</v>
      </c>
      <c r="H100" s="44">
        <v>2.0</v>
      </c>
      <c r="I100" s="44" t="s">
        <v>176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35" t="s">
        <v>179</v>
      </c>
      <c r="AH100" s="32"/>
      <c r="AI100" s="32"/>
      <c r="AJ100" s="32"/>
      <c r="AK100" s="32"/>
      <c r="AL100" s="128"/>
      <c r="AM100" s="128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4" t="s">
        <v>117</v>
      </c>
      <c r="F101" s="44">
        <v>5.0</v>
      </c>
      <c r="G101" s="90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79" t="s">
        <v>178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53</v>
      </c>
      <c r="D102" s="39" t="s">
        <v>97</v>
      </c>
      <c r="E102" s="44" t="s">
        <v>67</v>
      </c>
      <c r="F102" s="44">
        <v>2.0</v>
      </c>
      <c r="G102" s="90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7"/>
      <c r="C103" s="94"/>
      <c r="D103" s="94"/>
      <c r="E103" s="44" t="s">
        <v>32</v>
      </c>
      <c r="F103" s="67"/>
      <c r="G103" s="90" t="s">
        <v>24</v>
      </c>
      <c r="H103" s="67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97</v>
      </c>
      <c r="E104" s="44" t="s">
        <v>43</v>
      </c>
      <c r="F104" s="44">
        <v>4.0</v>
      </c>
      <c r="G104" s="90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7">
        <v>46098.0</v>
      </c>
      <c r="C105" s="12" t="s">
        <v>55</v>
      </c>
      <c r="D105" s="39" t="s">
        <v>97</v>
      </c>
      <c r="E105" s="44" t="s">
        <v>68</v>
      </c>
      <c r="F105" s="44">
        <v>3.0</v>
      </c>
      <c r="G105" s="90" t="s">
        <v>24</v>
      </c>
      <c r="H105" s="44">
        <v>0.0</v>
      </c>
      <c r="I105" s="14" t="s">
        <v>120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7">
        <v>46098.0</v>
      </c>
      <c r="C106" s="39" t="s">
        <v>53</v>
      </c>
      <c r="D106" s="39" t="s">
        <v>97</v>
      </c>
      <c r="E106" s="14" t="s">
        <v>176</v>
      </c>
      <c r="F106" s="44">
        <v>0.0</v>
      </c>
      <c r="G106" s="90" t="s">
        <v>24</v>
      </c>
      <c r="H106" s="44">
        <v>3.0</v>
      </c>
      <c r="I106" s="44" t="s">
        <v>117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G106" s="63"/>
      <c r="AH106" s="37"/>
      <c r="AJ106" s="4"/>
      <c r="AK106" s="4"/>
      <c r="AL106" s="4"/>
      <c r="AM106" s="4"/>
      <c r="AN106" s="4"/>
    </row>
    <row r="107" ht="15.75" customHeight="1">
      <c r="A107" s="25"/>
      <c r="B107" s="127">
        <v>46097.0</v>
      </c>
      <c r="C107" s="12" t="s">
        <v>53</v>
      </c>
      <c r="D107" s="39" t="s">
        <v>97</v>
      </c>
      <c r="E107" s="44" t="s">
        <v>59</v>
      </c>
      <c r="F107" s="44">
        <v>8.0</v>
      </c>
      <c r="G107" s="90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G107" s="63"/>
      <c r="AJ107" s="4"/>
      <c r="AK107" s="4"/>
      <c r="AL107" s="4"/>
      <c r="AM107" s="4"/>
      <c r="AN107" s="4"/>
    </row>
    <row r="108" ht="15.75" customHeight="1">
      <c r="A108" s="25"/>
      <c r="B108" s="127">
        <v>46098.0</v>
      </c>
      <c r="C108" s="12" t="s">
        <v>52</v>
      </c>
      <c r="D108" s="39" t="s">
        <v>97</v>
      </c>
      <c r="E108" s="44" t="s">
        <v>63</v>
      </c>
      <c r="F108" s="44">
        <v>2.0</v>
      </c>
      <c r="G108" s="90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G108" s="63"/>
      <c r="AJ108" s="4"/>
      <c r="AK108" s="4"/>
      <c r="AL108" s="4"/>
      <c r="AM108" s="4"/>
      <c r="AN108" s="4"/>
    </row>
    <row r="109" ht="15.75" customHeight="1">
      <c r="A109" s="25"/>
      <c r="B109" s="126"/>
      <c r="C109" s="90"/>
      <c r="D109" s="90"/>
      <c r="E109" s="44">
        <v>0.0</v>
      </c>
      <c r="F109" s="67"/>
      <c r="G109" s="90" t="s">
        <v>24</v>
      </c>
      <c r="H109" s="67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97</v>
      </c>
      <c r="E110" s="44" t="s">
        <v>120</v>
      </c>
      <c r="F110" s="44">
        <v>1.0</v>
      </c>
      <c r="G110" s="90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97</v>
      </c>
      <c r="E111" s="44" t="s">
        <v>117</v>
      </c>
      <c r="F111" s="44">
        <v>3.0</v>
      </c>
      <c r="G111" s="90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97</v>
      </c>
      <c r="E112" s="44" t="s">
        <v>67</v>
      </c>
      <c r="F112" s="44">
        <v>10.0</v>
      </c>
      <c r="G112" s="90" t="s">
        <v>24</v>
      </c>
      <c r="H112" s="44">
        <v>2.0</v>
      </c>
      <c r="I112" s="44" t="s">
        <v>176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97</v>
      </c>
      <c r="E113" s="44" t="s">
        <v>32</v>
      </c>
      <c r="F113" s="44">
        <v>3.0</v>
      </c>
      <c r="G113" s="90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6"/>
      <c r="C114" s="90"/>
      <c r="D114" s="90"/>
      <c r="E114" s="44" t="s">
        <v>63</v>
      </c>
      <c r="F114" s="67"/>
      <c r="G114" s="90" t="s">
        <v>24</v>
      </c>
      <c r="H114" s="67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6"/>
      <c r="C115" s="90"/>
      <c r="D115" s="90"/>
      <c r="E115" s="44">
        <v>0.0</v>
      </c>
      <c r="F115" s="67"/>
      <c r="G115" s="90" t="s">
        <v>24</v>
      </c>
      <c r="H115" s="67"/>
      <c r="I115" s="44" t="s">
        <v>120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97</v>
      </c>
      <c r="E116" s="44" t="s">
        <v>43</v>
      </c>
      <c r="F116" s="44">
        <v>3.0</v>
      </c>
      <c r="G116" s="90" t="s">
        <v>24</v>
      </c>
      <c r="H116" s="44">
        <v>1.0</v>
      </c>
      <c r="I116" s="44" t="s">
        <v>117</v>
      </c>
      <c r="J116" s="63"/>
      <c r="K116" s="4">
        <f t="shared" si="11"/>
        <v>3</v>
      </c>
      <c r="L116" s="18">
        <f t="shared" si="12"/>
        <v>0</v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156</v>
      </c>
      <c r="D117" s="39" t="s">
        <v>97</v>
      </c>
      <c r="E117" s="14" t="s">
        <v>68</v>
      </c>
      <c r="F117" s="44">
        <v>0.0</v>
      </c>
      <c r="G117" s="90" t="s">
        <v>24</v>
      </c>
      <c r="H117" s="44">
        <v>3.0</v>
      </c>
      <c r="I117" s="44" t="s">
        <v>67</v>
      </c>
      <c r="J117" s="63"/>
      <c r="K117" s="4">
        <f t="shared" si="11"/>
        <v>0</v>
      </c>
      <c r="L117" s="18">
        <f t="shared" si="12"/>
        <v>3</v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97</v>
      </c>
      <c r="E118" s="44" t="s">
        <v>176</v>
      </c>
      <c r="F118" s="44">
        <v>3.0</v>
      </c>
      <c r="G118" s="90" t="s">
        <v>24</v>
      </c>
      <c r="H118" s="44">
        <v>2.0</v>
      </c>
      <c r="I118" s="17" t="s">
        <v>32</v>
      </c>
      <c r="J118" s="63"/>
      <c r="K118" s="4">
        <f t="shared" si="11"/>
        <v>3</v>
      </c>
      <c r="L118" s="18">
        <f t="shared" si="12"/>
        <v>0</v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97</v>
      </c>
      <c r="E119" s="44" t="s">
        <v>59</v>
      </c>
      <c r="F119" s="44">
        <v>3.0</v>
      </c>
      <c r="G119" s="90" t="s">
        <v>24</v>
      </c>
      <c r="H119" s="44">
        <v>5.0</v>
      </c>
      <c r="I119" s="44" t="s">
        <v>63</v>
      </c>
      <c r="J119" s="63"/>
      <c r="K119" s="4">
        <f t="shared" si="11"/>
        <v>0</v>
      </c>
      <c r="L119" s="18">
        <f t="shared" si="12"/>
        <v>3</v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20" t="s">
        <v>180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27">
        <v>45945.0</v>
      </c>
      <c r="C126" s="12" t="s">
        <v>55</v>
      </c>
      <c r="D126" s="12" t="s">
        <v>97</v>
      </c>
      <c r="E126" s="44" t="s">
        <v>65</v>
      </c>
      <c r="F126" s="44">
        <v>5.0</v>
      </c>
      <c r="G126" s="90" t="s">
        <v>24</v>
      </c>
      <c r="H126" s="44">
        <v>0.0</v>
      </c>
      <c r="I126" s="44" t="s">
        <v>181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6" t="s">
        <v>181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3"/>
      <c r="X126" s="63"/>
      <c r="Y126" s="63"/>
      <c r="Z126" s="63"/>
      <c r="AA126" s="63"/>
      <c r="AB126" s="63"/>
      <c r="AC126" s="63"/>
      <c r="AD126" s="63"/>
      <c r="AE126" s="45" t="s">
        <v>29</v>
      </c>
      <c r="AF126" s="23" t="str">
        <f t="array" ref="AF126:AN134">SORT(O126:W135,2,FALSE,9,FALSE,8,FALSE())</f>
        <v>EGI B</v>
      </c>
      <c r="AG126" s="23">
        <v>21.0</v>
      </c>
      <c r="AH126" s="23">
        <v>7.0</v>
      </c>
      <c r="AI126" s="23">
        <v>0.0</v>
      </c>
      <c r="AJ126" s="23">
        <v>0.0</v>
      </c>
      <c r="AK126" s="23">
        <v>39.0</v>
      </c>
      <c r="AL126" s="23">
        <v>17.0</v>
      </c>
      <c r="AM126" s="23">
        <v>22.0</v>
      </c>
      <c r="AN126" s="18"/>
    </row>
    <row r="127" ht="15.75" customHeight="1">
      <c r="A127" s="25"/>
      <c r="B127" s="127">
        <v>45952.0</v>
      </c>
      <c r="C127" s="12" t="s">
        <v>162</v>
      </c>
      <c r="D127" s="12" t="s">
        <v>97</v>
      </c>
      <c r="E127" s="44" t="s">
        <v>121</v>
      </c>
      <c r="F127" s="44">
        <v>3.0</v>
      </c>
      <c r="G127" s="90" t="s">
        <v>24</v>
      </c>
      <c r="H127" s="44">
        <v>6.0</v>
      </c>
      <c r="I127" s="44" t="s">
        <v>135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6" t="s">
        <v>65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3"/>
      <c r="X127" s="63"/>
      <c r="Y127" s="63"/>
      <c r="Z127" s="63"/>
      <c r="AA127" s="63"/>
      <c r="AB127" s="63"/>
      <c r="AC127" s="63"/>
      <c r="AD127" s="63"/>
      <c r="AE127" s="125" t="s">
        <v>119</v>
      </c>
      <c r="AF127" s="23" t="s">
        <v>135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42.0</v>
      </c>
      <c r="AL127" s="23">
        <v>18.0</v>
      </c>
      <c r="AM127" s="23">
        <v>24.0</v>
      </c>
      <c r="AN127" s="18"/>
    </row>
    <row r="128" ht="15.75" customHeight="1">
      <c r="A128" s="25"/>
      <c r="B128" s="127">
        <v>45945.0</v>
      </c>
      <c r="C128" s="39" t="s">
        <v>52</v>
      </c>
      <c r="D128" s="12" t="s">
        <v>97</v>
      </c>
      <c r="E128" s="44" t="s">
        <v>145</v>
      </c>
      <c r="F128" s="44">
        <v>1.0</v>
      </c>
      <c r="G128" s="90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6" t="s">
        <v>121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4</v>
      </c>
      <c r="T128" s="18">
        <f t="shared" si="26"/>
        <v>20</v>
      </c>
      <c r="U128" s="20">
        <f t="shared" si="27"/>
        <v>20</v>
      </c>
      <c r="V128" s="18">
        <f t="shared" si="28"/>
        <v>0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60</v>
      </c>
      <c r="AG128" s="23">
        <v>15.0</v>
      </c>
      <c r="AH128" s="23">
        <v>5.0</v>
      </c>
      <c r="AI128" s="23">
        <v>0.0</v>
      </c>
      <c r="AJ128" s="23">
        <v>2.0</v>
      </c>
      <c r="AK128" s="23">
        <v>47.0</v>
      </c>
      <c r="AL128" s="23">
        <v>14.0</v>
      </c>
      <c r="AM128" s="23">
        <v>33.0</v>
      </c>
      <c r="AN128" s="18"/>
    </row>
    <row r="129" ht="15.75" customHeight="1">
      <c r="A129" s="25"/>
      <c r="B129" s="127">
        <v>45945.0</v>
      </c>
      <c r="C129" s="12" t="s">
        <v>53</v>
      </c>
      <c r="D129" s="12" t="s">
        <v>97</v>
      </c>
      <c r="E129" s="44" t="s">
        <v>60</v>
      </c>
      <c r="F129" s="44">
        <v>3.0</v>
      </c>
      <c r="G129" s="90" t="s">
        <v>24</v>
      </c>
      <c r="H129" s="44">
        <v>5.0</v>
      </c>
      <c r="I129" s="44" t="s">
        <v>182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6" t="s">
        <v>145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6</v>
      </c>
      <c r="T129" s="18">
        <f t="shared" si="26"/>
        <v>7</v>
      </c>
      <c r="U129" s="20">
        <f t="shared" si="27"/>
        <v>48</v>
      </c>
      <c r="V129" s="18">
        <f t="shared" si="28"/>
        <v>-41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6"/>
      <c r="C130" s="90"/>
      <c r="D130" s="67"/>
      <c r="E130" s="44" t="s">
        <v>183</v>
      </c>
      <c r="F130" s="67"/>
      <c r="G130" s="90" t="s">
        <v>24</v>
      </c>
      <c r="H130" s="67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6" t="s">
        <v>60</v>
      </c>
      <c r="P130" s="18">
        <f t="shared" si="22"/>
        <v>15</v>
      </c>
      <c r="Q130" s="18">
        <f t="shared" si="23"/>
        <v>5</v>
      </c>
      <c r="R130" s="20">
        <f t="shared" si="24"/>
        <v>0</v>
      </c>
      <c r="S130" s="20">
        <f t="shared" si="25"/>
        <v>2</v>
      </c>
      <c r="T130" s="18">
        <f t="shared" si="26"/>
        <v>47</v>
      </c>
      <c r="U130" s="20">
        <f t="shared" si="27"/>
        <v>14</v>
      </c>
      <c r="V130" s="18">
        <f t="shared" si="28"/>
        <v>33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183</v>
      </c>
      <c r="AG130" s="23">
        <v>12.0</v>
      </c>
      <c r="AH130" s="23">
        <v>4.0</v>
      </c>
      <c r="AI130" s="23">
        <v>0.0</v>
      </c>
      <c r="AJ130" s="23">
        <v>3.0</v>
      </c>
      <c r="AK130" s="23">
        <v>35.0</v>
      </c>
      <c r="AL130" s="23">
        <v>28.0</v>
      </c>
      <c r="AM130" s="23">
        <v>7.0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181</v>
      </c>
      <c r="F131" s="44">
        <v>0.0</v>
      </c>
      <c r="G131" s="90" t="s">
        <v>24</v>
      </c>
      <c r="H131" s="44">
        <v>3.0</v>
      </c>
      <c r="I131" s="44" t="s">
        <v>121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6" t="s">
        <v>183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3</v>
      </c>
      <c r="T131" s="18">
        <f t="shared" si="26"/>
        <v>35</v>
      </c>
      <c r="U131" s="20">
        <f t="shared" si="27"/>
        <v>28</v>
      </c>
      <c r="V131" s="18">
        <f t="shared" si="28"/>
        <v>7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121</v>
      </c>
      <c r="AG131" s="23">
        <v>9.0</v>
      </c>
      <c r="AH131" s="23">
        <v>3.0</v>
      </c>
      <c r="AI131" s="23">
        <v>0.0</v>
      </c>
      <c r="AJ131" s="23">
        <v>4.0</v>
      </c>
      <c r="AK131" s="23">
        <v>20.0</v>
      </c>
      <c r="AL131" s="23">
        <v>20.0</v>
      </c>
      <c r="AM131" s="23">
        <v>0.0</v>
      </c>
      <c r="AN131" s="18"/>
    </row>
    <row r="132" ht="15.75" customHeight="1">
      <c r="A132" s="25"/>
      <c r="B132" s="129"/>
      <c r="C132" s="98"/>
      <c r="D132" s="98"/>
      <c r="E132" s="44">
        <v>0.0</v>
      </c>
      <c r="F132" s="67"/>
      <c r="G132" s="90" t="s">
        <v>24</v>
      </c>
      <c r="H132" s="67"/>
      <c r="I132" s="44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6" t="s">
        <v>182</v>
      </c>
      <c r="P132" s="18">
        <f t="shared" si="22"/>
        <v>21</v>
      </c>
      <c r="Q132" s="18">
        <f t="shared" si="23"/>
        <v>7</v>
      </c>
      <c r="R132" s="20">
        <f t="shared" si="24"/>
        <v>0</v>
      </c>
      <c r="S132" s="20">
        <f t="shared" si="25"/>
        <v>0</v>
      </c>
      <c r="T132" s="18">
        <f t="shared" si="26"/>
        <v>39</v>
      </c>
      <c r="U132" s="20">
        <f t="shared" si="27"/>
        <v>17</v>
      </c>
      <c r="V132" s="18">
        <f t="shared" si="28"/>
        <v>22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181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135</v>
      </c>
      <c r="F133" s="44">
        <v>6.0</v>
      </c>
      <c r="G133" s="90" t="s">
        <v>24</v>
      </c>
      <c r="H133" s="44">
        <v>1.0</v>
      </c>
      <c r="I133" s="44" t="s">
        <v>145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6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6</v>
      </c>
      <c r="T133" s="18">
        <f t="shared" si="26"/>
        <v>19</v>
      </c>
      <c r="U133" s="20">
        <f t="shared" si="27"/>
        <v>34</v>
      </c>
      <c r="V133" s="18">
        <f t="shared" si="28"/>
        <v>-15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6.0</v>
      </c>
      <c r="AK133" s="23">
        <v>19.0</v>
      </c>
      <c r="AL133" s="23">
        <v>34.0</v>
      </c>
      <c r="AM133" s="23">
        <v>-15.0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97</v>
      </c>
      <c r="E134" s="44" t="s">
        <v>61</v>
      </c>
      <c r="F134" s="44">
        <v>2.0</v>
      </c>
      <c r="G134" s="90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6" t="s">
        <v>135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145</v>
      </c>
      <c r="AG134" s="23">
        <v>1.0</v>
      </c>
      <c r="AH134" s="23">
        <v>0.0</v>
      </c>
      <c r="AI134" s="23">
        <v>1.0</v>
      </c>
      <c r="AJ134" s="23">
        <v>6.0</v>
      </c>
      <c r="AK134" s="23">
        <v>7.0</v>
      </c>
      <c r="AL134" s="23">
        <v>48.0</v>
      </c>
      <c r="AM134" s="23">
        <v>-41.0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4" t="s">
        <v>182</v>
      </c>
      <c r="F135" s="44">
        <v>5.0</v>
      </c>
      <c r="G135" s="90" t="s">
        <v>24</v>
      </c>
      <c r="H135" s="44">
        <v>2.0</v>
      </c>
      <c r="I135" s="44" t="s">
        <v>183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184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145</v>
      </c>
      <c r="F136" s="44">
        <v>2.0</v>
      </c>
      <c r="G136" s="90" t="s">
        <v>24</v>
      </c>
      <c r="H136" s="44">
        <v>2.0</v>
      </c>
      <c r="I136" s="44" t="s">
        <v>181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178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121</v>
      </c>
      <c r="F137" s="44">
        <v>3.0</v>
      </c>
      <c r="G137" s="90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E137" s="4"/>
      <c r="AG137" s="63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90" t="s">
        <v>24</v>
      </c>
      <c r="H138" s="44">
        <v>4.0</v>
      </c>
      <c r="I138" s="44" t="s">
        <v>135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G138" s="63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183</v>
      </c>
      <c r="F139" s="44">
        <v>6.0</v>
      </c>
      <c r="G139" s="90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G139" s="63"/>
      <c r="AJ139" s="4"/>
      <c r="AK139" s="4"/>
      <c r="AL139" s="4"/>
      <c r="AM139" s="4"/>
      <c r="AN139" s="4"/>
    </row>
    <row r="140" ht="15.75" customHeight="1">
      <c r="A140" s="25"/>
      <c r="B140" s="126"/>
      <c r="C140" s="90"/>
      <c r="D140" s="90"/>
      <c r="E140" s="44">
        <v>0.0</v>
      </c>
      <c r="F140" s="67"/>
      <c r="G140" s="90" t="s">
        <v>24</v>
      </c>
      <c r="H140" s="67"/>
      <c r="I140" s="44" t="s">
        <v>182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181</v>
      </c>
      <c r="F141" s="12">
        <v>0.0</v>
      </c>
      <c r="G141" s="90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65</v>
      </c>
      <c r="F142" s="12">
        <v>15.0</v>
      </c>
      <c r="G142" s="90" t="s">
        <v>24</v>
      </c>
      <c r="H142" s="44">
        <v>1.0</v>
      </c>
      <c r="I142" s="44" t="s">
        <v>145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4"/>
      <c r="AJ142" s="4"/>
      <c r="AK142" s="4"/>
      <c r="AL142" s="4"/>
      <c r="AM142" s="4"/>
      <c r="AN142" s="4"/>
    </row>
    <row r="143" ht="15.75" customHeight="1">
      <c r="A143" s="25"/>
      <c r="B143" s="129"/>
      <c r="C143" s="98"/>
      <c r="D143" s="98"/>
      <c r="E143" s="44" t="s">
        <v>121</v>
      </c>
      <c r="F143" s="98"/>
      <c r="G143" s="90" t="s">
        <v>24</v>
      </c>
      <c r="H143" s="67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135</v>
      </c>
      <c r="F144" s="12">
        <v>6.0</v>
      </c>
      <c r="G144" s="90" t="s">
        <v>24</v>
      </c>
      <c r="H144" s="44">
        <v>3.0</v>
      </c>
      <c r="I144" s="44" t="s">
        <v>183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4"/>
      <c r="AF144" s="4"/>
      <c r="AG144" s="4"/>
      <c r="AH144" s="63"/>
      <c r="AI144" s="63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35</v>
      </c>
      <c r="D145" s="12" t="s">
        <v>22</v>
      </c>
      <c r="E145" s="44" t="s">
        <v>61</v>
      </c>
      <c r="F145" s="12">
        <v>3.0</v>
      </c>
      <c r="G145" s="90" t="s">
        <v>24</v>
      </c>
      <c r="H145" s="44">
        <v>6.0</v>
      </c>
      <c r="I145" s="44" t="s">
        <v>182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4"/>
      <c r="AF145" s="4"/>
      <c r="AG145" s="4"/>
      <c r="AH145" s="63"/>
      <c r="AI145" s="63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97</v>
      </c>
      <c r="E146" s="44" t="s">
        <v>183</v>
      </c>
      <c r="F146" s="44">
        <v>8.0</v>
      </c>
      <c r="G146" s="90" t="s">
        <v>24</v>
      </c>
      <c r="H146" s="44">
        <v>4.0</v>
      </c>
      <c r="I146" s="44" t="s">
        <v>181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4"/>
      <c r="AF146" s="4"/>
      <c r="AG146" s="4"/>
      <c r="AH146" s="63"/>
      <c r="AI146" s="63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55</v>
      </c>
      <c r="D147" s="12" t="s">
        <v>97</v>
      </c>
      <c r="E147" s="44" t="s">
        <v>60</v>
      </c>
      <c r="F147" s="44">
        <v>5.0</v>
      </c>
      <c r="G147" s="90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4" t="s">
        <v>145</v>
      </c>
      <c r="F148" s="44">
        <v>1.0</v>
      </c>
      <c r="G148" s="90" t="s">
        <v>24</v>
      </c>
      <c r="H148" s="44">
        <v>5.0</v>
      </c>
      <c r="I148" s="44" t="s">
        <v>121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4" t="s">
        <v>182</v>
      </c>
      <c r="F149" s="44">
        <v>3.0</v>
      </c>
      <c r="G149" s="90" t="s">
        <v>24</v>
      </c>
      <c r="H149" s="44">
        <v>1.0</v>
      </c>
      <c r="I149" s="44" t="s">
        <v>135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26"/>
      <c r="C150" s="90"/>
      <c r="D150" s="90"/>
      <c r="E150" s="44">
        <v>0.0</v>
      </c>
      <c r="F150" s="67"/>
      <c r="G150" s="90" t="s">
        <v>24</v>
      </c>
      <c r="H150" s="67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4" t="s">
        <v>181</v>
      </c>
      <c r="F151" s="44">
        <v>3.0</v>
      </c>
      <c r="G151" s="90" t="s">
        <v>24</v>
      </c>
      <c r="H151" s="44">
        <v>11.0</v>
      </c>
      <c r="I151" s="44" t="s">
        <v>182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55</v>
      </c>
      <c r="D152" s="12" t="s">
        <v>97</v>
      </c>
      <c r="E152" s="44" t="s">
        <v>65</v>
      </c>
      <c r="F152" s="44">
        <v>4.0</v>
      </c>
      <c r="G152" s="90" t="s">
        <v>24</v>
      </c>
      <c r="H152" s="44">
        <v>6.0</v>
      </c>
      <c r="I152" s="44" t="s">
        <v>183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4" t="s">
        <v>121</v>
      </c>
      <c r="F153" s="44">
        <v>0.0</v>
      </c>
      <c r="G153" s="90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129"/>
      <c r="C154" s="94"/>
      <c r="D154" s="98"/>
      <c r="E154" s="44" t="s">
        <v>145</v>
      </c>
      <c r="F154" s="67"/>
      <c r="G154" s="90" t="s">
        <v>24</v>
      </c>
      <c r="H154" s="67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97</v>
      </c>
      <c r="E155" s="44" t="s">
        <v>135</v>
      </c>
      <c r="F155" s="44">
        <v>7.0</v>
      </c>
      <c r="G155" s="90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97</v>
      </c>
      <c r="E156" s="44" t="s">
        <v>61</v>
      </c>
      <c r="F156" s="44">
        <v>4.0</v>
      </c>
      <c r="G156" s="90" t="s">
        <v>24</v>
      </c>
      <c r="H156" s="44">
        <v>8.0</v>
      </c>
      <c r="I156" s="44" t="s">
        <v>181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97</v>
      </c>
      <c r="E157" s="44" t="s">
        <v>182</v>
      </c>
      <c r="F157" s="44">
        <v>3.0</v>
      </c>
      <c r="G157" s="90" t="s">
        <v>24</v>
      </c>
      <c r="H157" s="44">
        <v>2.0</v>
      </c>
      <c r="I157" s="44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53</v>
      </c>
      <c r="D158" s="12" t="s">
        <v>97</v>
      </c>
      <c r="E158" s="44" t="s">
        <v>183</v>
      </c>
      <c r="F158" s="44">
        <v>1.0</v>
      </c>
      <c r="G158" s="90" t="s">
        <v>24</v>
      </c>
      <c r="H158" s="44">
        <v>3.0</v>
      </c>
      <c r="I158" s="44" t="s">
        <v>121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52</v>
      </c>
      <c r="D159" s="12" t="s">
        <v>97</v>
      </c>
      <c r="E159" s="44" t="s">
        <v>60</v>
      </c>
      <c r="F159" s="44">
        <v>9.0</v>
      </c>
      <c r="G159" s="90" t="s">
        <v>24</v>
      </c>
      <c r="H159" s="44">
        <v>0.0</v>
      </c>
      <c r="I159" s="44" t="s">
        <v>145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6"/>
      <c r="C160" s="90"/>
      <c r="D160" s="90"/>
      <c r="E160" s="44">
        <v>0.0</v>
      </c>
      <c r="F160" s="67"/>
      <c r="G160" s="90" t="s">
        <v>24</v>
      </c>
      <c r="H160" s="67"/>
      <c r="I160" s="44" t="s">
        <v>135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97</v>
      </c>
      <c r="E161" s="44" t="s">
        <v>181</v>
      </c>
      <c r="F161" s="44">
        <v>0.0</v>
      </c>
      <c r="G161" s="90" t="s">
        <v>24</v>
      </c>
      <c r="H161" s="44">
        <v>11.0</v>
      </c>
      <c r="I161" s="44" t="s">
        <v>135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97</v>
      </c>
      <c r="E162" s="44" t="s">
        <v>65</v>
      </c>
      <c r="F162" s="44">
        <v>3.0</v>
      </c>
      <c r="G162" s="90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6" t="s">
        <v>53</v>
      </c>
      <c r="D163" s="12" t="s">
        <v>97</v>
      </c>
      <c r="E163" s="44" t="s">
        <v>121</v>
      </c>
      <c r="F163" s="44">
        <v>3.0</v>
      </c>
      <c r="G163" s="90" t="s">
        <v>24</v>
      </c>
      <c r="H163" s="44">
        <v>6.0</v>
      </c>
      <c r="I163" s="44" t="s">
        <v>182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185</v>
      </c>
      <c r="D164" s="12" t="s">
        <v>22</v>
      </c>
      <c r="E164" s="44" t="s">
        <v>145</v>
      </c>
      <c r="F164" s="44">
        <v>1.0</v>
      </c>
      <c r="G164" s="90" t="s">
        <v>24</v>
      </c>
      <c r="H164" s="44">
        <v>9.0</v>
      </c>
      <c r="I164" s="44" t="s">
        <v>183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0"/>
      <c r="D165" s="12"/>
      <c r="E165" s="44" t="s">
        <v>60</v>
      </c>
      <c r="F165" s="67"/>
      <c r="G165" s="90" t="s">
        <v>24</v>
      </c>
      <c r="H165" s="67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6"/>
      <c r="C166" s="90"/>
      <c r="D166" s="90"/>
      <c r="E166" s="44">
        <v>0.0</v>
      </c>
      <c r="F166" s="67"/>
      <c r="G166" s="90" t="s">
        <v>24</v>
      </c>
      <c r="H166" s="67"/>
      <c r="I166" s="44" t="s">
        <v>181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97</v>
      </c>
      <c r="E167" s="44" t="s">
        <v>135</v>
      </c>
      <c r="F167" s="44">
        <v>1.0</v>
      </c>
      <c r="G167" s="90" t="s">
        <v>24</v>
      </c>
      <c r="H167" s="44">
        <v>3.0</v>
      </c>
      <c r="I167" s="44" t="s">
        <v>65</v>
      </c>
      <c r="J167" s="63"/>
      <c r="K167" s="4">
        <f t="shared" si="20"/>
        <v>0</v>
      </c>
      <c r="L167" s="18">
        <f t="shared" si="21"/>
        <v>3</v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67"/>
      <c r="G168" s="90" t="s">
        <v>24</v>
      </c>
      <c r="H168" s="67"/>
      <c r="I168" s="44" t="s">
        <v>121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182</v>
      </c>
      <c r="F169" s="67"/>
      <c r="G169" s="90" t="s">
        <v>24</v>
      </c>
      <c r="H169" s="67"/>
      <c r="I169" s="17" t="s">
        <v>145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183</v>
      </c>
      <c r="F170" s="67"/>
      <c r="G170" s="90" t="s">
        <v>24</v>
      </c>
      <c r="H170" s="67"/>
      <c r="I170" s="44" t="s">
        <v>60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186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97</v>
      </c>
      <c r="E177" s="44" t="s">
        <v>31</v>
      </c>
      <c r="F177" s="44">
        <v>2.0</v>
      </c>
      <c r="G177" s="90" t="s">
        <v>24</v>
      </c>
      <c r="H177" s="44">
        <v>4.0</v>
      </c>
      <c r="I177" s="44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6" t="s">
        <v>40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4" t="s">
        <v>58</v>
      </c>
      <c r="F178" s="44">
        <v>2.0</v>
      </c>
      <c r="G178" s="90" t="s">
        <v>24</v>
      </c>
      <c r="H178" s="44">
        <v>2.0</v>
      </c>
      <c r="I178" s="44" t="s">
        <v>39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6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3"/>
      <c r="X178" s="63"/>
      <c r="Y178" s="63"/>
      <c r="Z178" s="63"/>
      <c r="AA178" s="63"/>
      <c r="AB178" s="63"/>
      <c r="AC178" s="63"/>
      <c r="AD178" s="63"/>
      <c r="AE178" s="125" t="s">
        <v>119</v>
      </c>
      <c r="AF178" s="23" t="s">
        <v>39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97</v>
      </c>
      <c r="E179" s="44" t="s">
        <v>133</v>
      </c>
      <c r="F179" s="44">
        <v>1.0</v>
      </c>
      <c r="G179" s="90" t="s">
        <v>24</v>
      </c>
      <c r="H179" s="44">
        <v>1.0</v>
      </c>
      <c r="I179" s="44" t="s">
        <v>155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6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187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172</v>
      </c>
      <c r="D180" s="12" t="s">
        <v>97</v>
      </c>
      <c r="E180" s="44" t="s">
        <v>37</v>
      </c>
      <c r="F180" s="44">
        <v>0.0</v>
      </c>
      <c r="G180" s="90" t="s">
        <v>24</v>
      </c>
      <c r="H180" s="44">
        <v>3.0</v>
      </c>
      <c r="I180" s="44" t="s">
        <v>187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6" t="s">
        <v>133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98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4" t="s">
        <v>64</v>
      </c>
      <c r="F181" s="44">
        <v>2.0</v>
      </c>
      <c r="G181" s="90" t="s">
        <v>24</v>
      </c>
      <c r="H181" s="44">
        <v>1.0</v>
      </c>
      <c r="I181" s="44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6" t="s">
        <v>37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155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40</v>
      </c>
      <c r="F182" s="44">
        <v>6.0</v>
      </c>
      <c r="G182" s="90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6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133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98</v>
      </c>
      <c r="F183" s="44">
        <v>3.0</v>
      </c>
      <c r="G183" s="90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6" t="s">
        <v>187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39</v>
      </c>
      <c r="F184" s="44">
        <v>3.0</v>
      </c>
      <c r="G184" s="90" t="s">
        <v>24</v>
      </c>
      <c r="H184" s="44">
        <v>2.0</v>
      </c>
      <c r="I184" s="44" t="s">
        <v>133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6" t="s">
        <v>155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155</v>
      </c>
      <c r="F185" s="44">
        <v>7.0</v>
      </c>
      <c r="G185" s="90" t="s">
        <v>24</v>
      </c>
      <c r="H185" s="44">
        <v>0.0</v>
      </c>
      <c r="I185" s="44" t="s">
        <v>37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6" t="s">
        <v>39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187</v>
      </c>
      <c r="F186" s="44">
        <v>13.0</v>
      </c>
      <c r="G186" s="90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6" t="s">
        <v>98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37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7">
        <v>45965.0</v>
      </c>
      <c r="C187" s="39" t="s">
        <v>49</v>
      </c>
      <c r="D187" s="39" t="s">
        <v>22</v>
      </c>
      <c r="E187" s="44" t="s">
        <v>133</v>
      </c>
      <c r="F187" s="44">
        <v>0.0</v>
      </c>
      <c r="G187" s="90" t="s">
        <v>24</v>
      </c>
      <c r="H187" s="44">
        <v>2.0</v>
      </c>
      <c r="I187" s="44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188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7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90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178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7">
        <v>45966.0</v>
      </c>
      <c r="C189" s="39" t="s">
        <v>158</v>
      </c>
      <c r="D189" s="12" t="s">
        <v>97</v>
      </c>
      <c r="E189" s="44" t="s">
        <v>37</v>
      </c>
      <c r="F189" s="44">
        <v>1.0</v>
      </c>
      <c r="G189" s="90" t="s">
        <v>24</v>
      </c>
      <c r="H189" s="44">
        <v>9.0</v>
      </c>
      <c r="I189" s="44" t="s">
        <v>39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J189" s="4"/>
      <c r="AK189" s="4"/>
      <c r="AL189" s="4"/>
      <c r="AM189" s="4"/>
      <c r="AN189" s="4"/>
    </row>
    <row r="190" ht="15.75" customHeight="1">
      <c r="A190" s="25"/>
      <c r="B190" s="127">
        <v>45964.0</v>
      </c>
      <c r="C190" s="39" t="s">
        <v>35</v>
      </c>
      <c r="D190" s="12" t="s">
        <v>97</v>
      </c>
      <c r="E190" s="44" t="s">
        <v>64</v>
      </c>
      <c r="F190" s="44">
        <v>1.0</v>
      </c>
      <c r="G190" s="90" t="s">
        <v>24</v>
      </c>
      <c r="H190" s="44">
        <v>6.0</v>
      </c>
      <c r="I190" s="44" t="s">
        <v>155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J190" s="4"/>
      <c r="AK190" s="4"/>
      <c r="AL190" s="4"/>
      <c r="AM190" s="4"/>
      <c r="AN190" s="4"/>
    </row>
    <row r="191" ht="15.75" customHeight="1">
      <c r="A191" s="25"/>
      <c r="B191" s="127">
        <v>45966.0</v>
      </c>
      <c r="C191" s="39" t="s">
        <v>172</v>
      </c>
      <c r="D191" s="12" t="s">
        <v>97</v>
      </c>
      <c r="E191" s="44" t="s">
        <v>98</v>
      </c>
      <c r="F191" s="44">
        <v>1.0</v>
      </c>
      <c r="G191" s="90" t="s">
        <v>24</v>
      </c>
      <c r="H191" s="44">
        <v>2.0</v>
      </c>
      <c r="I191" s="44" t="s">
        <v>187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E191" s="131" t="s">
        <v>111</v>
      </c>
      <c r="AF191" s="82"/>
      <c r="AG191" s="82"/>
      <c r="AH191" s="82"/>
      <c r="AI191" s="82"/>
      <c r="AJ191" s="82"/>
      <c r="AK191" s="82"/>
      <c r="AL191" s="82"/>
      <c r="AM191" s="83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40</v>
      </c>
      <c r="F192" s="44">
        <v>24.0</v>
      </c>
      <c r="G192" s="90" t="s">
        <v>24</v>
      </c>
      <c r="H192" s="44">
        <v>1.0</v>
      </c>
      <c r="I192" s="44" t="s">
        <v>37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E192" s="84"/>
      <c r="AF192" s="85"/>
      <c r="AG192" s="85"/>
      <c r="AH192" s="85"/>
      <c r="AI192" s="85"/>
      <c r="AJ192" s="85"/>
      <c r="AK192" s="85"/>
      <c r="AL192" s="85"/>
      <c r="AM192" s="86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4" t="s">
        <v>31</v>
      </c>
      <c r="F193" s="44">
        <v>3.0</v>
      </c>
      <c r="G193" s="90" t="s">
        <v>24</v>
      </c>
      <c r="H193" s="44">
        <v>3.0</v>
      </c>
      <c r="I193" s="44" t="s">
        <v>133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E193" s="5" t="s">
        <v>11</v>
      </c>
      <c r="AF193" s="5" t="s">
        <v>12</v>
      </c>
      <c r="AG193" s="5" t="s">
        <v>13</v>
      </c>
      <c r="AH193" s="5" t="s">
        <v>14</v>
      </c>
      <c r="AI193" s="5" t="s">
        <v>15</v>
      </c>
      <c r="AJ193" s="5" t="s">
        <v>16</v>
      </c>
      <c r="AK193" s="5" t="s">
        <v>17</v>
      </c>
      <c r="AL193" s="5" t="s">
        <v>18</v>
      </c>
      <c r="AM193" s="5" t="s">
        <v>19</v>
      </c>
      <c r="AN193" s="4"/>
    </row>
    <row r="194" ht="15.75" customHeight="1">
      <c r="A194" s="25"/>
      <c r="B194" s="11">
        <v>46065.0</v>
      </c>
      <c r="C194" s="12" t="s">
        <v>53</v>
      </c>
      <c r="D194" s="12" t="s">
        <v>97</v>
      </c>
      <c r="E194" s="44" t="s">
        <v>58</v>
      </c>
      <c r="F194" s="44">
        <v>4.0</v>
      </c>
      <c r="G194" s="90" t="s">
        <v>24</v>
      </c>
      <c r="H194" s="44">
        <v>5.0</v>
      </c>
      <c r="I194" s="44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5" t="s">
        <v>29</v>
      </c>
      <c r="AF194" s="23" t="s">
        <v>40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53</v>
      </c>
      <c r="D195" s="12" t="s">
        <v>97</v>
      </c>
      <c r="E195" s="44" t="s">
        <v>39</v>
      </c>
      <c r="F195" s="44">
        <v>10.0</v>
      </c>
      <c r="G195" s="90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125" t="s">
        <v>119</v>
      </c>
      <c r="AF195" s="23" t="s">
        <v>39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55</v>
      </c>
      <c r="D196" s="12" t="s">
        <v>97</v>
      </c>
      <c r="E196" s="44" t="s">
        <v>155</v>
      </c>
      <c r="F196" s="44">
        <v>5.0</v>
      </c>
      <c r="G196" s="90" t="s">
        <v>24</v>
      </c>
      <c r="H196" s="44">
        <v>2.0</v>
      </c>
      <c r="I196" s="44" t="s">
        <v>187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22">
        <v>3.0</v>
      </c>
      <c r="AF196" s="23" t="s">
        <v>155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97</v>
      </c>
      <c r="E197" s="44" t="s">
        <v>64</v>
      </c>
      <c r="F197" s="44">
        <v>2.0</v>
      </c>
      <c r="G197" s="90" t="s">
        <v>24</v>
      </c>
      <c r="H197" s="44">
        <v>5.0</v>
      </c>
      <c r="I197" s="44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22">
        <v>4.0</v>
      </c>
      <c r="AF197" s="23" t="s">
        <v>98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55</v>
      </c>
      <c r="D198" s="12" t="s">
        <v>97</v>
      </c>
      <c r="E198" s="44" t="s">
        <v>37</v>
      </c>
      <c r="F198" s="44">
        <v>2.0</v>
      </c>
      <c r="G198" s="90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22">
        <v>5.0</v>
      </c>
      <c r="AF198" s="23" t="s">
        <v>187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4" t="s">
        <v>133</v>
      </c>
      <c r="F199" s="44">
        <v>3.0</v>
      </c>
      <c r="G199" s="90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22">
        <v>6.0</v>
      </c>
      <c r="AF199" s="23" t="s">
        <v>133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53</v>
      </c>
      <c r="D200" s="12" t="s">
        <v>97</v>
      </c>
      <c r="E200" s="44" t="s">
        <v>187</v>
      </c>
      <c r="F200" s="44">
        <v>5.0</v>
      </c>
      <c r="G200" s="90" t="s">
        <v>24</v>
      </c>
      <c r="H200" s="44">
        <v>3.0</v>
      </c>
      <c r="I200" s="44" t="s">
        <v>39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22">
        <v>7.0</v>
      </c>
      <c r="AF200" s="23" t="s">
        <v>31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55</v>
      </c>
      <c r="D201" s="12" t="s">
        <v>97</v>
      </c>
      <c r="E201" s="44" t="s">
        <v>98</v>
      </c>
      <c r="F201" s="44">
        <v>2.0</v>
      </c>
      <c r="G201" s="90" t="s">
        <v>24</v>
      </c>
      <c r="H201" s="44">
        <v>0.0</v>
      </c>
      <c r="I201" s="44" t="s">
        <v>155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22">
        <v>8.0</v>
      </c>
      <c r="AF201" s="23" t="s">
        <v>58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97</v>
      </c>
      <c r="E202" s="44" t="s">
        <v>40</v>
      </c>
      <c r="F202" s="44">
        <v>3.0</v>
      </c>
      <c r="G202" s="90" t="s">
        <v>24</v>
      </c>
      <c r="H202" s="44">
        <v>3.0</v>
      </c>
      <c r="I202" s="44" t="s">
        <v>187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22">
        <v>9.0</v>
      </c>
      <c r="AF202" s="23" t="s">
        <v>64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4" t="s">
        <v>31</v>
      </c>
      <c r="F203" s="44">
        <v>4.0</v>
      </c>
      <c r="G203" s="90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22">
        <v>10.0</v>
      </c>
      <c r="AF203" s="23" t="s">
        <v>37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53</v>
      </c>
      <c r="D204" s="12" t="s">
        <v>97</v>
      </c>
      <c r="E204" s="44" t="s">
        <v>58</v>
      </c>
      <c r="F204" s="44">
        <v>3.0</v>
      </c>
      <c r="G204" s="90" t="s">
        <v>24</v>
      </c>
      <c r="H204" s="44">
        <v>2.0</v>
      </c>
      <c r="I204" s="44" t="s">
        <v>37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35" t="s">
        <v>189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126</v>
      </c>
      <c r="D205" s="39" t="s">
        <v>22</v>
      </c>
      <c r="E205" s="44" t="s">
        <v>133</v>
      </c>
      <c r="F205" s="44">
        <v>2.0</v>
      </c>
      <c r="G205" s="90" t="s">
        <v>24</v>
      </c>
      <c r="H205" s="44">
        <v>4.0</v>
      </c>
      <c r="I205" s="44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79" t="s">
        <v>178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129</v>
      </c>
      <c r="D206" s="39" t="s">
        <v>22</v>
      </c>
      <c r="E206" s="44" t="s">
        <v>39</v>
      </c>
      <c r="F206" s="44">
        <v>8.0</v>
      </c>
      <c r="G206" s="90" t="s">
        <v>24</v>
      </c>
      <c r="H206" s="44">
        <v>3.0</v>
      </c>
      <c r="I206" s="44" t="s">
        <v>155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155</v>
      </c>
      <c r="F207" s="44">
        <v>0.0</v>
      </c>
      <c r="G207" s="90" t="s">
        <v>24</v>
      </c>
      <c r="H207" s="44">
        <v>5.0</v>
      </c>
      <c r="I207" s="44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35</v>
      </c>
      <c r="D208" s="39" t="s">
        <v>22</v>
      </c>
      <c r="E208" s="44" t="s">
        <v>187</v>
      </c>
      <c r="F208" s="44">
        <v>2.0</v>
      </c>
      <c r="G208" s="90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97</v>
      </c>
      <c r="E209" s="44" t="s">
        <v>64</v>
      </c>
      <c r="F209" s="44">
        <v>3.0</v>
      </c>
      <c r="G209" s="90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4" t="s">
        <v>37</v>
      </c>
      <c r="F210" s="44">
        <v>0.0</v>
      </c>
      <c r="G210" s="90" t="s">
        <v>24</v>
      </c>
      <c r="H210" s="44">
        <v>3.0</v>
      </c>
      <c r="I210" s="44" t="s">
        <v>133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97</v>
      </c>
      <c r="E211" s="44" t="s">
        <v>98</v>
      </c>
      <c r="F211" s="44">
        <v>2.0</v>
      </c>
      <c r="G211" s="90" t="s">
        <v>24</v>
      </c>
      <c r="H211" s="44">
        <v>4.0</v>
      </c>
      <c r="I211" s="44" t="s">
        <v>39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40</v>
      </c>
      <c r="F212" s="44">
        <v>5.0</v>
      </c>
      <c r="G212" s="90" t="s">
        <v>24</v>
      </c>
      <c r="H212" s="44">
        <v>5.0</v>
      </c>
      <c r="I212" s="44" t="s">
        <v>39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35</v>
      </c>
      <c r="D213" s="39" t="s">
        <v>22</v>
      </c>
      <c r="E213" s="44" t="s">
        <v>31</v>
      </c>
      <c r="F213" s="44">
        <v>2.0</v>
      </c>
      <c r="G213" s="90" t="s">
        <v>24</v>
      </c>
      <c r="H213" s="44">
        <v>8.0</v>
      </c>
      <c r="I213" s="44" t="s">
        <v>155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97</v>
      </c>
      <c r="E214" s="44" t="s">
        <v>58</v>
      </c>
      <c r="F214" s="44">
        <v>2.0</v>
      </c>
      <c r="G214" s="90" t="s">
        <v>24</v>
      </c>
      <c r="H214" s="44">
        <v>6.0</v>
      </c>
      <c r="I214" s="44" t="s">
        <v>187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97</v>
      </c>
      <c r="E215" s="44" t="s">
        <v>133</v>
      </c>
      <c r="F215" s="44">
        <v>3.0</v>
      </c>
      <c r="G215" s="90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97</v>
      </c>
      <c r="E216" s="44" t="s">
        <v>37</v>
      </c>
      <c r="F216" s="44">
        <v>3.0</v>
      </c>
      <c r="G216" s="90" t="s">
        <v>24</v>
      </c>
      <c r="H216" s="44">
        <v>17.0</v>
      </c>
      <c r="I216" s="44" t="s">
        <v>98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97</v>
      </c>
      <c r="E217" s="44" t="s">
        <v>98</v>
      </c>
      <c r="F217" s="44">
        <v>2.0</v>
      </c>
      <c r="G217" s="90" t="s">
        <v>24</v>
      </c>
      <c r="H217" s="44">
        <v>2.0</v>
      </c>
      <c r="I217" s="44" t="s">
        <v>40</v>
      </c>
      <c r="J217" s="63"/>
      <c r="K217" s="4">
        <f t="shared" si="29"/>
        <v>1</v>
      </c>
      <c r="L217" s="18">
        <f t="shared" si="30"/>
        <v>1</v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97</v>
      </c>
      <c r="E218" s="44" t="s">
        <v>39</v>
      </c>
      <c r="F218" s="44">
        <v>5.0</v>
      </c>
      <c r="G218" s="90" t="s">
        <v>24</v>
      </c>
      <c r="H218" s="44">
        <v>1.0</v>
      </c>
      <c r="I218" s="44" t="s">
        <v>31</v>
      </c>
      <c r="J218" s="63"/>
      <c r="K218" s="4">
        <f t="shared" si="29"/>
        <v>3</v>
      </c>
      <c r="L218" s="18">
        <f t="shared" si="30"/>
        <v>0</v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97</v>
      </c>
      <c r="E219" s="44" t="s">
        <v>155</v>
      </c>
      <c r="F219" s="44">
        <v>5.0</v>
      </c>
      <c r="G219" s="90" t="s">
        <v>24</v>
      </c>
      <c r="H219" s="44">
        <v>4.0</v>
      </c>
      <c r="I219" s="44" t="s">
        <v>58</v>
      </c>
      <c r="J219" s="63"/>
      <c r="K219" s="4">
        <f t="shared" si="29"/>
        <v>3</v>
      </c>
      <c r="L219" s="18">
        <f t="shared" si="30"/>
        <v>0</v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97</v>
      </c>
      <c r="E220" s="44" t="s">
        <v>187</v>
      </c>
      <c r="F220" s="44">
        <v>2.0</v>
      </c>
      <c r="G220" s="90" t="s">
        <v>24</v>
      </c>
      <c r="H220" s="44">
        <v>4.0</v>
      </c>
      <c r="I220" s="17" t="s">
        <v>133</v>
      </c>
      <c r="J220" s="63"/>
      <c r="K220" s="4">
        <f t="shared" si="29"/>
        <v>0</v>
      </c>
      <c r="L220" s="18">
        <f t="shared" si="30"/>
        <v>3</v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97</v>
      </c>
      <c r="E221" s="44" t="s">
        <v>64</v>
      </c>
      <c r="F221" s="44">
        <v>11.0</v>
      </c>
      <c r="G221" s="90" t="s">
        <v>24</v>
      </c>
      <c r="H221" s="44">
        <v>6.0</v>
      </c>
      <c r="I221" s="44" t="s">
        <v>37</v>
      </c>
      <c r="J221" s="63"/>
      <c r="K221" s="4">
        <f t="shared" si="29"/>
        <v>3</v>
      </c>
      <c r="L221" s="18">
        <f t="shared" si="30"/>
        <v>0</v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190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81</v>
      </c>
      <c r="B228" s="43"/>
      <c r="C228" s="12"/>
      <c r="D228" s="12"/>
      <c r="E228" s="44" t="s">
        <v>138</v>
      </c>
      <c r="F228" s="13"/>
      <c r="G228" s="16" t="s">
        <v>24</v>
      </c>
      <c r="H228" s="13"/>
      <c r="I228" s="44" t="s">
        <v>191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3"/>
      <c r="C229" s="12"/>
      <c r="D229" s="12"/>
      <c r="E229" s="44" t="s">
        <v>192</v>
      </c>
      <c r="F229" s="13"/>
      <c r="G229" s="16" t="s">
        <v>24</v>
      </c>
      <c r="H229" s="13"/>
      <c r="I229" s="44" t="s">
        <v>193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102" t="s">
        <v>89</v>
      </c>
      <c r="B230" s="43"/>
      <c r="C230" s="12"/>
      <c r="D230" s="12"/>
      <c r="E230" s="44" t="s">
        <v>90</v>
      </c>
      <c r="F230" s="13"/>
      <c r="G230" s="16" t="s">
        <v>24</v>
      </c>
      <c r="H230" s="13"/>
      <c r="I230" s="44" t="s">
        <v>91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194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3"/>
      <c r="C237" s="12"/>
      <c r="D237" s="12"/>
      <c r="E237" s="44" t="s">
        <v>73</v>
      </c>
      <c r="F237" s="31"/>
      <c r="G237" s="16" t="s">
        <v>24</v>
      </c>
      <c r="H237" s="31"/>
      <c r="I237" s="44" t="s">
        <v>195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3"/>
      <c r="C238" s="12"/>
      <c r="D238" s="12"/>
      <c r="E238" s="44" t="s">
        <v>75</v>
      </c>
      <c r="F238" s="31"/>
      <c r="G238" s="16" t="s">
        <v>24</v>
      </c>
      <c r="H238" s="31"/>
      <c r="I238" s="44" t="s">
        <v>142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3"/>
      <c r="C239" s="12"/>
      <c r="D239" s="12"/>
      <c r="E239" s="44" t="s">
        <v>77</v>
      </c>
      <c r="F239" s="31"/>
      <c r="G239" s="16" t="s">
        <v>24</v>
      </c>
      <c r="H239" s="31"/>
      <c r="I239" s="44" t="s">
        <v>143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3"/>
      <c r="C240" s="12"/>
      <c r="D240" s="12"/>
      <c r="E240" s="44" t="s">
        <v>79</v>
      </c>
      <c r="F240" s="31"/>
      <c r="G240" s="16" t="s">
        <v>24</v>
      </c>
      <c r="H240" s="31"/>
      <c r="I240" s="44" t="s">
        <v>80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81</v>
      </c>
      <c r="B241" s="43"/>
      <c r="C241" s="12"/>
      <c r="D241" s="12"/>
      <c r="E241" s="44" t="s">
        <v>82</v>
      </c>
      <c r="F241" s="31"/>
      <c r="G241" s="16" t="s">
        <v>24</v>
      </c>
      <c r="H241" s="31"/>
      <c r="I241" s="44" t="s">
        <v>83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6"/>
      <c r="C242" s="31"/>
      <c r="D242" s="12"/>
      <c r="E242" s="51" t="s">
        <v>84</v>
      </c>
      <c r="F242" s="13"/>
      <c r="G242" s="16" t="s">
        <v>24</v>
      </c>
      <c r="H242" s="13"/>
      <c r="I242" s="44" t="s">
        <v>85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86</v>
      </c>
      <c r="B243" s="30"/>
      <c r="C243" s="31"/>
      <c r="D243" s="12"/>
      <c r="E243" s="44" t="s">
        <v>87</v>
      </c>
      <c r="F243" s="31"/>
      <c r="G243" s="16" t="s">
        <v>24</v>
      </c>
      <c r="H243" s="31"/>
      <c r="I243" s="61" t="s">
        <v>88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89</v>
      </c>
      <c r="B244" s="30"/>
      <c r="C244" s="31"/>
      <c r="D244" s="12"/>
      <c r="E244" s="44" t="s">
        <v>90</v>
      </c>
      <c r="F244" s="31"/>
      <c r="G244" s="16" t="s">
        <v>24</v>
      </c>
      <c r="H244" s="31"/>
      <c r="I244" s="44" t="s">
        <v>91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82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2:A216"/>
    <mergeCell ref="A217:A221"/>
    <mergeCell ref="A226:G226"/>
    <mergeCell ref="F227:H227"/>
    <mergeCell ref="A228:A229"/>
    <mergeCell ref="A235:G235"/>
    <mergeCell ref="F236:H236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07:A211"/>
    <mergeCell ref="AE204:AG204"/>
    <mergeCell ref="AE205:AG205"/>
    <mergeCell ref="AH206:AI212"/>
    <mergeCell ref="AE207:AF211"/>
    <mergeCell ref="AE106:AF110"/>
    <mergeCell ref="AH106:AI112"/>
    <mergeCell ref="AE135:AG135"/>
    <mergeCell ref="AE136:AG136"/>
    <mergeCell ref="AE137:AF141"/>
    <mergeCell ref="AH137:AI143"/>
    <mergeCell ref="AE187:AG187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88:AG188"/>
    <mergeCell ref="AE191:AM19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196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32" t="s">
        <v>20</v>
      </c>
      <c r="Y2" s="8"/>
      <c r="Z2" s="2"/>
      <c r="AA2" s="121" t="s">
        <v>166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197</v>
      </c>
      <c r="E3" s="44" t="s">
        <v>118</v>
      </c>
      <c r="F3" s="17">
        <v>2.0</v>
      </c>
      <c r="G3" s="90" t="s">
        <v>24</v>
      </c>
      <c r="H3" s="133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2" t="s">
        <v>118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26</v>
      </c>
      <c r="Y3" s="136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197</v>
      </c>
      <c r="E4" s="44" t="s">
        <v>40</v>
      </c>
      <c r="F4" s="17">
        <v>1.0</v>
      </c>
      <c r="G4" s="90" t="s">
        <v>24</v>
      </c>
      <c r="H4" s="133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2" t="s">
        <v>33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25</v>
      </c>
      <c r="Y4" s="137">
        <v>3.0</v>
      </c>
      <c r="Z4" s="2"/>
      <c r="AA4" s="22" t="s">
        <v>34</v>
      </c>
      <c r="AB4" s="28" t="s">
        <v>25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7">
        <v>45950.0</v>
      </c>
      <c r="C5" s="12" t="s">
        <v>53</v>
      </c>
      <c r="D5" s="12" t="s">
        <v>197</v>
      </c>
      <c r="E5" s="44" t="s">
        <v>23</v>
      </c>
      <c r="F5" s="17">
        <v>1.0</v>
      </c>
      <c r="G5" s="90" t="s">
        <v>24</v>
      </c>
      <c r="H5" s="133">
        <v>1.0</v>
      </c>
      <c r="I5" s="44" t="s">
        <v>37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2" t="s">
        <v>58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168</v>
      </c>
      <c r="Y5" s="137">
        <v>0.0</v>
      </c>
      <c r="Z5" s="2"/>
      <c r="AA5" s="22" t="s">
        <v>38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197</v>
      </c>
      <c r="E6" s="44" t="s">
        <v>25</v>
      </c>
      <c r="F6" s="17">
        <v>2.0</v>
      </c>
      <c r="G6" s="90" t="s">
        <v>24</v>
      </c>
      <c r="H6" s="133">
        <v>1.0</v>
      </c>
      <c r="I6" s="44" t="s">
        <v>36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2" t="s">
        <v>66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42</v>
      </c>
      <c r="AB6" s="28" t="s">
        <v>118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197</v>
      </c>
      <c r="E7" s="44" t="s">
        <v>66</v>
      </c>
      <c r="F7" s="17"/>
      <c r="G7" s="90" t="s">
        <v>24</v>
      </c>
      <c r="H7" s="133"/>
      <c r="I7" s="14" t="s">
        <v>168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2" t="s">
        <v>63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44</v>
      </c>
      <c r="AB7" s="28" t="s">
        <v>37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197</v>
      </c>
      <c r="E8" s="44" t="s">
        <v>115</v>
      </c>
      <c r="F8" s="15">
        <v>1.0</v>
      </c>
      <c r="G8" s="90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2" t="s">
        <v>25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47</v>
      </c>
      <c r="AB8" s="28" t="s">
        <v>36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197</v>
      </c>
      <c r="E9" s="44" t="s">
        <v>58</v>
      </c>
      <c r="F9" s="15">
        <v>0.0</v>
      </c>
      <c r="G9" s="90" t="s">
        <v>24</v>
      </c>
      <c r="H9" s="133">
        <v>1.0</v>
      </c>
      <c r="I9" s="44" t="s">
        <v>115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2" t="s">
        <v>37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63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162</v>
      </c>
      <c r="D10" s="12" t="s">
        <v>197</v>
      </c>
      <c r="E10" s="44" t="s">
        <v>63</v>
      </c>
      <c r="F10" s="15">
        <v>1.0</v>
      </c>
      <c r="G10" s="90" t="s">
        <v>24</v>
      </c>
      <c r="H10" s="133">
        <v>8.0</v>
      </c>
      <c r="I10" s="44" t="s">
        <v>118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2" t="s">
        <v>23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40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198</v>
      </c>
      <c r="D11" s="12" t="s">
        <v>197</v>
      </c>
      <c r="E11" s="44" t="s">
        <v>37</v>
      </c>
      <c r="F11" s="15">
        <v>3.0</v>
      </c>
      <c r="G11" s="90" t="s">
        <v>24</v>
      </c>
      <c r="H11" s="133">
        <v>1.0</v>
      </c>
      <c r="I11" s="44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2" t="s">
        <v>36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5" t="s">
        <v>104</v>
      </c>
      <c r="AB11" s="28" t="s">
        <v>115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199</v>
      </c>
      <c r="D12" s="12" t="s">
        <v>197</v>
      </c>
      <c r="E12" s="44" t="s">
        <v>36</v>
      </c>
      <c r="F12" s="17">
        <v>0.0</v>
      </c>
      <c r="G12" s="90" t="s">
        <v>24</v>
      </c>
      <c r="H12" s="133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2" t="s">
        <v>40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6">
        <v>10.0</v>
      </c>
      <c r="AB12" s="28" t="s">
        <v>66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200</v>
      </c>
      <c r="D13" s="12" t="s">
        <v>197</v>
      </c>
      <c r="E13" s="14" t="s">
        <v>168</v>
      </c>
      <c r="F13" s="17"/>
      <c r="G13" s="90" t="s">
        <v>24</v>
      </c>
      <c r="H13" s="133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2" t="s">
        <v>168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6">
        <v>11.0</v>
      </c>
      <c r="AB13" s="28" t="s">
        <v>58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156</v>
      </c>
      <c r="D14" s="12" t="s">
        <v>197</v>
      </c>
      <c r="E14" s="44" t="s">
        <v>33</v>
      </c>
      <c r="F14" s="17">
        <v>6.0</v>
      </c>
      <c r="G14" s="90" t="s">
        <v>24</v>
      </c>
      <c r="H14" s="133">
        <v>1.0</v>
      </c>
      <c r="I14" s="44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2" t="s">
        <v>115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6">
        <v>12.0</v>
      </c>
      <c r="AB14" s="28" t="s">
        <v>168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197</v>
      </c>
      <c r="E15" s="44" t="s">
        <v>58</v>
      </c>
      <c r="F15" s="17">
        <v>1.0</v>
      </c>
      <c r="G15" s="90" t="s">
        <v>24</v>
      </c>
      <c r="H15" s="133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201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197</v>
      </c>
      <c r="E16" s="44" t="s">
        <v>118</v>
      </c>
      <c r="F16" s="17">
        <v>1.0</v>
      </c>
      <c r="G16" s="90" t="s">
        <v>24</v>
      </c>
      <c r="H16" s="133">
        <v>0.0</v>
      </c>
      <c r="I16" s="44" t="s">
        <v>37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197</v>
      </c>
      <c r="E17" s="44" t="s">
        <v>40</v>
      </c>
      <c r="F17" s="17">
        <v>1.0</v>
      </c>
      <c r="G17" s="90" t="s">
        <v>24</v>
      </c>
      <c r="H17" s="133">
        <v>0.0</v>
      </c>
      <c r="I17" s="44" t="s">
        <v>36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198</v>
      </c>
      <c r="D18" s="12" t="s">
        <v>197</v>
      </c>
      <c r="E18" s="44" t="s">
        <v>23</v>
      </c>
      <c r="F18" s="14"/>
      <c r="G18" s="90" t="s">
        <v>24</v>
      </c>
      <c r="H18" s="133"/>
      <c r="I18" s="14" t="s">
        <v>168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199</v>
      </c>
      <c r="D19" s="12" t="s">
        <v>197</v>
      </c>
      <c r="E19" s="44" t="s">
        <v>25</v>
      </c>
      <c r="F19" s="17">
        <v>2.0</v>
      </c>
      <c r="G19" s="90" t="s">
        <v>24</v>
      </c>
      <c r="H19" s="133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200</v>
      </c>
      <c r="D20" s="12" t="s">
        <v>197</v>
      </c>
      <c r="E20" s="44" t="s">
        <v>115</v>
      </c>
      <c r="F20" s="17">
        <v>5.0</v>
      </c>
      <c r="G20" s="90" t="s">
        <v>24</v>
      </c>
      <c r="H20" s="133">
        <v>1.0</v>
      </c>
      <c r="I20" s="44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89">
        <v>46000.0</v>
      </c>
      <c r="C21" s="12" t="s">
        <v>55</v>
      </c>
      <c r="D21" s="12" t="s">
        <v>197</v>
      </c>
      <c r="E21" s="44" t="s">
        <v>63</v>
      </c>
      <c r="F21" s="17">
        <v>4.0</v>
      </c>
      <c r="G21" s="90" t="s">
        <v>24</v>
      </c>
      <c r="H21" s="133">
        <v>1.0</v>
      </c>
      <c r="I21" s="44" t="s">
        <v>115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89">
        <v>46078.0</v>
      </c>
      <c r="C22" s="12" t="s">
        <v>172</v>
      </c>
      <c r="D22" s="12" t="s">
        <v>197</v>
      </c>
      <c r="E22" s="44" t="s">
        <v>37</v>
      </c>
      <c r="F22" s="17">
        <v>5.0</v>
      </c>
      <c r="G22" s="90" t="s">
        <v>24</v>
      </c>
      <c r="H22" s="133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89">
        <v>46078.0</v>
      </c>
      <c r="C23" s="12" t="s">
        <v>162</v>
      </c>
      <c r="D23" s="12" t="s">
        <v>197</v>
      </c>
      <c r="E23" s="44" t="s">
        <v>36</v>
      </c>
      <c r="F23" s="17">
        <v>1.0</v>
      </c>
      <c r="G23" s="90" t="s">
        <v>24</v>
      </c>
      <c r="H23" s="133">
        <v>7.0</v>
      </c>
      <c r="I23" s="44" t="s">
        <v>118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89">
        <v>46000.0</v>
      </c>
      <c r="C24" s="39" t="s">
        <v>53</v>
      </c>
      <c r="D24" s="12" t="s">
        <v>197</v>
      </c>
      <c r="E24" s="14" t="s">
        <v>168</v>
      </c>
      <c r="F24" s="17"/>
      <c r="G24" s="90" t="s">
        <v>24</v>
      </c>
      <c r="H24" s="133"/>
      <c r="I24" s="44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89">
        <v>46078.0</v>
      </c>
      <c r="C25" s="12" t="s">
        <v>156</v>
      </c>
      <c r="D25" s="12" t="s">
        <v>197</v>
      </c>
      <c r="E25" s="44" t="s">
        <v>33</v>
      </c>
      <c r="F25" s="17">
        <v>1.0</v>
      </c>
      <c r="G25" s="90" t="s">
        <v>24</v>
      </c>
      <c r="H25" s="133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89">
        <v>46000.0</v>
      </c>
      <c r="C26" s="12" t="s">
        <v>52</v>
      </c>
      <c r="D26" s="12" t="s">
        <v>197</v>
      </c>
      <c r="E26" s="44" t="s">
        <v>66</v>
      </c>
      <c r="F26" s="17">
        <v>1.0</v>
      </c>
      <c r="G26" s="90" t="s">
        <v>24</v>
      </c>
      <c r="H26" s="133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197</v>
      </c>
      <c r="E27" s="44" t="s">
        <v>63</v>
      </c>
      <c r="F27" s="17">
        <v>1.0</v>
      </c>
      <c r="G27" s="90" t="s">
        <v>24</v>
      </c>
      <c r="H27" s="133">
        <v>3.0</v>
      </c>
      <c r="I27" s="44" t="s">
        <v>37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197</v>
      </c>
      <c r="E28" s="44" t="s">
        <v>58</v>
      </c>
      <c r="F28" s="17">
        <v>1.0</v>
      </c>
      <c r="G28" s="90" t="s">
        <v>24</v>
      </c>
      <c r="H28" s="133">
        <v>3.0</v>
      </c>
      <c r="I28" s="44" t="s">
        <v>36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197</v>
      </c>
      <c r="E29" s="44" t="s">
        <v>118</v>
      </c>
      <c r="F29" s="17"/>
      <c r="G29" s="90" t="s">
        <v>24</v>
      </c>
      <c r="H29" s="133"/>
      <c r="I29" s="14" t="s">
        <v>168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197</v>
      </c>
      <c r="E30" s="44" t="s">
        <v>40</v>
      </c>
      <c r="F30" s="17">
        <v>1.0</v>
      </c>
      <c r="G30" s="90" t="s">
        <v>24</v>
      </c>
      <c r="H30" s="133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197</v>
      </c>
      <c r="E31" s="44" t="s">
        <v>23</v>
      </c>
      <c r="F31" s="17">
        <v>3.0</v>
      </c>
      <c r="G31" s="90" t="s">
        <v>24</v>
      </c>
      <c r="H31" s="133">
        <v>0.0</v>
      </c>
      <c r="I31" s="44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197</v>
      </c>
      <c r="E32" s="54" t="s">
        <v>115</v>
      </c>
      <c r="F32" s="17">
        <v>0.0</v>
      </c>
      <c r="G32" s="90" t="s">
        <v>24</v>
      </c>
      <c r="H32" s="133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197</v>
      </c>
      <c r="E33" s="44" t="s">
        <v>37</v>
      </c>
      <c r="F33" s="17">
        <v>5.0</v>
      </c>
      <c r="G33" s="90" t="s">
        <v>24</v>
      </c>
      <c r="H33" s="133">
        <v>0.0</v>
      </c>
      <c r="I33" s="44" t="s">
        <v>115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197</v>
      </c>
      <c r="E34" s="44" t="s">
        <v>36</v>
      </c>
      <c r="F34" s="17">
        <v>7.0</v>
      </c>
      <c r="G34" s="90" t="s">
        <v>24</v>
      </c>
      <c r="H34" s="133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197</v>
      </c>
      <c r="E35" s="14" t="s">
        <v>168</v>
      </c>
      <c r="F35" s="17"/>
      <c r="G35" s="90" t="s">
        <v>24</v>
      </c>
      <c r="H35" s="133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197</v>
      </c>
      <c r="E36" s="44" t="s">
        <v>33</v>
      </c>
      <c r="F36" s="17">
        <v>3.0</v>
      </c>
      <c r="G36" s="90" t="s">
        <v>24</v>
      </c>
      <c r="H36" s="133">
        <v>0.0</v>
      </c>
      <c r="I36" s="44" t="s">
        <v>118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197</v>
      </c>
      <c r="E37" s="44" t="s">
        <v>66</v>
      </c>
      <c r="F37" s="17">
        <v>1.0</v>
      </c>
      <c r="G37" s="90" t="s">
        <v>24</v>
      </c>
      <c r="H37" s="133">
        <v>3.0</v>
      </c>
      <c r="I37" s="44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197</v>
      </c>
      <c r="E38" s="44" t="s">
        <v>25</v>
      </c>
      <c r="F38" s="17">
        <v>0.0</v>
      </c>
      <c r="G38" s="90" t="s">
        <v>24</v>
      </c>
      <c r="H38" s="133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197</v>
      </c>
      <c r="E39" s="44" t="s">
        <v>37</v>
      </c>
      <c r="F39" s="17">
        <v>2.0</v>
      </c>
      <c r="G39" s="90" t="s">
        <v>24</v>
      </c>
      <c r="H39" s="133">
        <v>2.0</v>
      </c>
      <c r="I39" s="44" t="s">
        <v>36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197</v>
      </c>
      <c r="E40" s="44" t="s">
        <v>63</v>
      </c>
      <c r="F40" s="90"/>
      <c r="G40" s="90" t="s">
        <v>24</v>
      </c>
      <c r="H40" s="138"/>
      <c r="I40" s="14" t="s">
        <v>168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197</v>
      </c>
      <c r="E41" s="44" t="s">
        <v>58</v>
      </c>
      <c r="F41" s="17">
        <v>0.0</v>
      </c>
      <c r="G41" s="90" t="s">
        <v>24</v>
      </c>
      <c r="H41" s="133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197</v>
      </c>
      <c r="E42" s="44" t="s">
        <v>118</v>
      </c>
      <c r="F42" s="17">
        <v>6.0</v>
      </c>
      <c r="G42" s="90" t="s">
        <v>24</v>
      </c>
      <c r="H42" s="133">
        <v>2.0</v>
      </c>
      <c r="I42" s="44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197</v>
      </c>
      <c r="E43" s="44" t="s">
        <v>40</v>
      </c>
      <c r="F43" s="17">
        <v>1.0</v>
      </c>
      <c r="G43" s="90" t="s">
        <v>24</v>
      </c>
      <c r="H43" s="133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197</v>
      </c>
      <c r="E44" s="44" t="s">
        <v>115</v>
      </c>
      <c r="F44" s="17">
        <v>2.0</v>
      </c>
      <c r="G44" s="90" t="s">
        <v>24</v>
      </c>
      <c r="H44" s="133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197</v>
      </c>
      <c r="E45" s="44" t="s">
        <v>36</v>
      </c>
      <c r="F45" s="17">
        <v>5.0</v>
      </c>
      <c r="G45" s="90" t="s">
        <v>24</v>
      </c>
      <c r="H45" s="133">
        <v>1.0</v>
      </c>
      <c r="I45" s="44" t="s">
        <v>115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197</v>
      </c>
      <c r="E46" s="14" t="s">
        <v>168</v>
      </c>
      <c r="F46" s="90"/>
      <c r="G46" s="90" t="s">
        <v>24</v>
      </c>
      <c r="H46" s="138"/>
      <c r="I46" s="44" t="s">
        <v>37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197</v>
      </c>
      <c r="E47" s="44" t="s">
        <v>33</v>
      </c>
      <c r="F47" s="17">
        <v>8.0</v>
      </c>
      <c r="G47" s="90" t="s">
        <v>24</v>
      </c>
      <c r="H47" s="133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197</v>
      </c>
      <c r="E48" s="44" t="s">
        <v>66</v>
      </c>
      <c r="F48" s="17">
        <v>3.0</v>
      </c>
      <c r="G48" s="90" t="s">
        <v>24</v>
      </c>
      <c r="H48" s="133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197</v>
      </c>
      <c r="E49" s="44" t="s">
        <v>25</v>
      </c>
      <c r="F49" s="17">
        <v>7.0</v>
      </c>
      <c r="G49" s="90" t="s">
        <v>24</v>
      </c>
      <c r="H49" s="133">
        <v>0.0</v>
      </c>
      <c r="I49" s="44" t="s">
        <v>118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197</v>
      </c>
      <c r="E50" s="44" t="s">
        <v>23</v>
      </c>
      <c r="F50" s="17">
        <v>2.0</v>
      </c>
      <c r="G50" s="90" t="s">
        <v>24</v>
      </c>
      <c r="H50" s="133">
        <v>1.0</v>
      </c>
      <c r="I50" s="44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36</v>
      </c>
      <c r="F51" s="90"/>
      <c r="G51" s="90" t="s">
        <v>24</v>
      </c>
      <c r="H51" s="138"/>
      <c r="I51" s="14" t="s">
        <v>168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197</v>
      </c>
      <c r="E52" s="44" t="s">
        <v>37</v>
      </c>
      <c r="F52" s="17">
        <v>1.0</v>
      </c>
      <c r="G52" s="90" t="s">
        <v>24</v>
      </c>
      <c r="H52" s="133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197</v>
      </c>
      <c r="E53" s="44" t="s">
        <v>63</v>
      </c>
      <c r="F53" s="17">
        <v>3.0</v>
      </c>
      <c r="G53" s="90" t="s">
        <v>24</v>
      </c>
      <c r="H53" s="133">
        <v>0.0</v>
      </c>
      <c r="I53" s="44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197</v>
      </c>
      <c r="E54" s="44" t="s">
        <v>58</v>
      </c>
      <c r="F54" s="17">
        <v>0.0</v>
      </c>
      <c r="G54" s="90" t="s">
        <v>24</v>
      </c>
      <c r="H54" s="133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197</v>
      </c>
      <c r="E55" s="44" t="s">
        <v>118</v>
      </c>
      <c r="F55" s="17">
        <v>2.0</v>
      </c>
      <c r="G55" s="90" t="s">
        <v>24</v>
      </c>
      <c r="H55" s="133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197</v>
      </c>
      <c r="E56" s="14" t="s">
        <v>115</v>
      </c>
      <c r="F56" s="17">
        <v>0.0</v>
      </c>
      <c r="G56" s="90" t="s">
        <v>24</v>
      </c>
      <c r="H56" s="133">
        <v>3.0</v>
      </c>
      <c r="I56" s="44" t="s">
        <v>40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115</v>
      </c>
      <c r="F57" s="31"/>
      <c r="G57" s="90" t="s">
        <v>24</v>
      </c>
      <c r="H57" s="138"/>
      <c r="I57" s="14" t="s">
        <v>168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197</v>
      </c>
      <c r="E58" s="44" t="s">
        <v>33</v>
      </c>
      <c r="F58" s="15">
        <v>2.0</v>
      </c>
      <c r="G58" s="90" t="s">
        <v>24</v>
      </c>
      <c r="H58" s="133">
        <v>2.0</v>
      </c>
      <c r="I58" s="44" t="s">
        <v>36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197</v>
      </c>
      <c r="E59" s="44" t="s">
        <v>66</v>
      </c>
      <c r="F59" s="13">
        <v>0.0</v>
      </c>
      <c r="G59" s="90" t="s">
        <v>24</v>
      </c>
      <c r="H59" s="133">
        <v>3.0</v>
      </c>
      <c r="I59" s="44" t="s">
        <v>37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197</v>
      </c>
      <c r="E60" s="44" t="s">
        <v>25</v>
      </c>
      <c r="F60" s="13">
        <v>3.0</v>
      </c>
      <c r="G60" s="90" t="s">
        <v>24</v>
      </c>
      <c r="H60" s="133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197</v>
      </c>
      <c r="E61" s="44" t="s">
        <v>23</v>
      </c>
      <c r="F61" s="13">
        <v>3.0</v>
      </c>
      <c r="G61" s="90" t="s">
        <v>24</v>
      </c>
      <c r="H61" s="133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197</v>
      </c>
      <c r="E62" s="44" t="s">
        <v>40</v>
      </c>
      <c r="F62" s="13">
        <v>0.0</v>
      </c>
      <c r="G62" s="90" t="s">
        <v>24</v>
      </c>
      <c r="H62" s="133">
        <v>1.0</v>
      </c>
      <c r="I62" s="44" t="s">
        <v>118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168</v>
      </c>
      <c r="F63" s="90"/>
      <c r="G63" s="90" t="s">
        <v>24</v>
      </c>
      <c r="H63" s="138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89">
        <v>46149.0</v>
      </c>
      <c r="C64" s="12" t="s">
        <v>55</v>
      </c>
      <c r="D64" s="12" t="s">
        <v>197</v>
      </c>
      <c r="E64" s="44" t="s">
        <v>36</v>
      </c>
      <c r="F64" s="17">
        <v>2.0</v>
      </c>
      <c r="G64" s="90" t="s">
        <v>24</v>
      </c>
      <c r="H64" s="133">
        <v>2.0</v>
      </c>
      <c r="I64" s="44" t="s">
        <v>66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197</v>
      </c>
      <c r="E65" s="44" t="s">
        <v>37</v>
      </c>
      <c r="F65" s="17">
        <v>1.0</v>
      </c>
      <c r="G65" s="90" t="s">
        <v>24</v>
      </c>
      <c r="H65" s="133">
        <v>1.0</v>
      </c>
      <c r="I65" s="44" t="s">
        <v>25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197</v>
      </c>
      <c r="E66" s="44" t="s">
        <v>63</v>
      </c>
      <c r="F66" s="17">
        <v>0.0</v>
      </c>
      <c r="G66" s="90" t="s">
        <v>24</v>
      </c>
      <c r="H66" s="133">
        <v>14.0</v>
      </c>
      <c r="I66" s="44" t="s">
        <v>23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197</v>
      </c>
      <c r="E67" s="44" t="s">
        <v>58</v>
      </c>
      <c r="F67" s="17">
        <v>0.0</v>
      </c>
      <c r="G67" s="90" t="s">
        <v>24</v>
      </c>
      <c r="H67" s="133">
        <v>0.0</v>
      </c>
      <c r="I67" s="44" t="s">
        <v>40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197</v>
      </c>
      <c r="E68" s="44" t="s">
        <v>118</v>
      </c>
      <c r="F68" s="17">
        <v>2.0</v>
      </c>
      <c r="G68" s="90" t="s">
        <v>24</v>
      </c>
      <c r="H68" s="133">
        <v>1.0</v>
      </c>
      <c r="I68" s="44" t="s">
        <v>115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202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7">
        <v>45952.0</v>
      </c>
      <c r="C75" s="39" t="s">
        <v>51</v>
      </c>
      <c r="D75" s="39" t="s">
        <v>197</v>
      </c>
      <c r="E75" s="17" t="s">
        <v>61</v>
      </c>
      <c r="F75" s="91">
        <v>1.0</v>
      </c>
      <c r="G75" s="90" t="s">
        <v>24</v>
      </c>
      <c r="H75" s="91">
        <v>5.0</v>
      </c>
      <c r="I75" s="17" t="s">
        <v>203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203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7">
        <v>45952.0</v>
      </c>
      <c r="C76" s="39" t="s">
        <v>55</v>
      </c>
      <c r="D76" s="39" t="s">
        <v>197</v>
      </c>
      <c r="E76" s="17" t="s">
        <v>32</v>
      </c>
      <c r="F76" s="91"/>
      <c r="G76" s="90" t="s">
        <v>24</v>
      </c>
      <c r="H76" s="91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5" t="s">
        <v>119</v>
      </c>
      <c r="AB76" s="23" t="s">
        <v>101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7">
        <v>45950.0</v>
      </c>
      <c r="C77" s="39" t="s">
        <v>55</v>
      </c>
      <c r="D77" s="39" t="s">
        <v>197</v>
      </c>
      <c r="E77" s="44" t="s">
        <v>43</v>
      </c>
      <c r="F77" s="91">
        <v>1.0</v>
      </c>
      <c r="G77" s="90" t="s">
        <v>24</v>
      </c>
      <c r="H77" s="91">
        <v>4.0</v>
      </c>
      <c r="I77" s="44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135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133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197</v>
      </c>
      <c r="E78" s="17" t="s">
        <v>133</v>
      </c>
      <c r="F78" s="91">
        <v>7.0</v>
      </c>
      <c r="G78" s="90"/>
      <c r="H78" s="91">
        <v>2.0</v>
      </c>
      <c r="I78" s="44" t="s">
        <v>135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135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7">
        <v>45979.0</v>
      </c>
      <c r="C79" s="12" t="s">
        <v>52</v>
      </c>
      <c r="D79" s="39" t="s">
        <v>197</v>
      </c>
      <c r="E79" s="17" t="s">
        <v>203</v>
      </c>
      <c r="F79" s="91">
        <v>1.0</v>
      </c>
      <c r="G79" s="90"/>
      <c r="H79" s="91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203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7"/>
      <c r="C80" s="12"/>
      <c r="D80" s="39" t="s">
        <v>197</v>
      </c>
      <c r="E80" s="44" t="s">
        <v>135</v>
      </c>
      <c r="F80" s="15">
        <v>7.0</v>
      </c>
      <c r="G80" s="90" t="s">
        <v>24</v>
      </c>
      <c r="H80" s="91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133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53</v>
      </c>
      <c r="D81" s="39" t="s">
        <v>197</v>
      </c>
      <c r="E81" s="14" t="s">
        <v>45</v>
      </c>
      <c r="F81" s="15"/>
      <c r="G81" s="90" t="s">
        <v>24</v>
      </c>
      <c r="H81" s="91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101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52</v>
      </c>
      <c r="D82" s="39" t="s">
        <v>197</v>
      </c>
      <c r="E82" s="17" t="s">
        <v>101</v>
      </c>
      <c r="F82" s="15">
        <v>1.0</v>
      </c>
      <c r="G82" s="90" t="s">
        <v>24</v>
      </c>
      <c r="H82" s="91">
        <v>1.0</v>
      </c>
      <c r="I82" s="17" t="s">
        <v>133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197</v>
      </c>
      <c r="E83" s="17" t="s">
        <v>43</v>
      </c>
      <c r="F83" s="15">
        <v>3.0</v>
      </c>
      <c r="G83" s="90" t="s">
        <v>24</v>
      </c>
      <c r="H83" s="91">
        <v>3.0</v>
      </c>
      <c r="I83" s="17" t="s">
        <v>203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204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197</v>
      </c>
      <c r="E84" s="17" t="s">
        <v>32</v>
      </c>
      <c r="F84" s="15">
        <v>4.0</v>
      </c>
      <c r="G84" s="90" t="s">
        <v>24</v>
      </c>
      <c r="H84" s="91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172</v>
      </c>
      <c r="D85" s="39" t="s">
        <v>197</v>
      </c>
      <c r="E85" s="17" t="s">
        <v>133</v>
      </c>
      <c r="F85" s="91"/>
      <c r="G85" s="90" t="s">
        <v>24</v>
      </c>
      <c r="H85" s="91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172</v>
      </c>
      <c r="D86" s="39" t="s">
        <v>197</v>
      </c>
      <c r="E86" s="44" t="s">
        <v>135</v>
      </c>
      <c r="F86" s="91">
        <v>1.0</v>
      </c>
      <c r="G86" s="90" t="s">
        <v>24</v>
      </c>
      <c r="H86" s="91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197</v>
      </c>
      <c r="E87" s="17" t="s">
        <v>203</v>
      </c>
      <c r="F87" s="91">
        <v>3.0</v>
      </c>
      <c r="G87" s="90" t="s">
        <v>24</v>
      </c>
      <c r="H87" s="91">
        <v>3.0</v>
      </c>
      <c r="I87" s="17" t="s">
        <v>133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197</v>
      </c>
      <c r="E88" s="17" t="s">
        <v>61</v>
      </c>
      <c r="F88" s="91">
        <v>1.0</v>
      </c>
      <c r="G88" s="90" t="s">
        <v>24</v>
      </c>
      <c r="H88" s="91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197</v>
      </c>
      <c r="E89" s="44" t="s">
        <v>32</v>
      </c>
      <c r="F89" s="91">
        <v>2.0</v>
      </c>
      <c r="G89" s="90" t="s">
        <v>24</v>
      </c>
      <c r="H89" s="91">
        <v>1.0</v>
      </c>
      <c r="I89" s="44" t="s">
        <v>135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45</v>
      </c>
      <c r="F90" s="142"/>
      <c r="G90" s="90" t="s">
        <v>24</v>
      </c>
      <c r="H90" s="142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52</v>
      </c>
      <c r="D91" s="39" t="s">
        <v>197</v>
      </c>
      <c r="E91" s="17" t="s">
        <v>101</v>
      </c>
      <c r="F91" s="91">
        <v>3.0</v>
      </c>
      <c r="G91" s="90" t="s">
        <v>24</v>
      </c>
      <c r="H91" s="91">
        <v>4.0</v>
      </c>
      <c r="I91" s="17" t="s">
        <v>203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197</v>
      </c>
      <c r="E92" s="17" t="s">
        <v>133</v>
      </c>
      <c r="F92" s="91">
        <v>4.0</v>
      </c>
      <c r="G92" s="90" t="s">
        <v>24</v>
      </c>
      <c r="H92" s="91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197</v>
      </c>
      <c r="E93" s="17" t="s">
        <v>43</v>
      </c>
      <c r="F93" s="91">
        <v>0.0</v>
      </c>
      <c r="G93" s="90" t="s">
        <v>24</v>
      </c>
      <c r="H93" s="91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135</v>
      </c>
      <c r="F94" s="142"/>
      <c r="G94" s="90" t="s">
        <v>24</v>
      </c>
      <c r="H94" s="142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41"/>
      <c r="C95" s="16"/>
      <c r="D95" s="139"/>
      <c r="E95" s="17" t="s">
        <v>203</v>
      </c>
      <c r="F95" s="142"/>
      <c r="G95" s="90" t="s">
        <v>24</v>
      </c>
      <c r="H95" s="142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156</v>
      </c>
      <c r="D96" s="39" t="s">
        <v>197</v>
      </c>
      <c r="E96" s="17" t="s">
        <v>61</v>
      </c>
      <c r="F96" s="91">
        <v>0.0</v>
      </c>
      <c r="G96" s="90" t="s">
        <v>24</v>
      </c>
      <c r="H96" s="91">
        <v>8.0</v>
      </c>
      <c r="I96" s="17" t="s">
        <v>101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154</v>
      </c>
      <c r="D97" s="39" t="s">
        <v>197</v>
      </c>
      <c r="E97" s="17" t="s">
        <v>32</v>
      </c>
      <c r="F97" s="91">
        <v>2.0</v>
      </c>
      <c r="G97" s="90" t="s">
        <v>24</v>
      </c>
      <c r="H97" s="91">
        <v>1.0</v>
      </c>
      <c r="I97" s="17" t="s">
        <v>133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197</v>
      </c>
      <c r="E98" s="44" t="s">
        <v>43</v>
      </c>
      <c r="F98" s="91">
        <v>2.0</v>
      </c>
      <c r="G98" s="90" t="s">
        <v>24</v>
      </c>
      <c r="H98" s="91">
        <v>3.0</v>
      </c>
      <c r="I98" s="44" t="s">
        <v>135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27">
        <v>46111.0</v>
      </c>
      <c r="C99" s="39" t="s">
        <v>52</v>
      </c>
      <c r="D99" s="39" t="s">
        <v>197</v>
      </c>
      <c r="E99" s="44" t="s">
        <v>135</v>
      </c>
      <c r="F99" s="91">
        <v>4.0</v>
      </c>
      <c r="G99" s="90" t="s">
        <v>24</v>
      </c>
      <c r="H99" s="91">
        <v>1.0</v>
      </c>
      <c r="I99" s="44" t="s">
        <v>203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45</v>
      </c>
      <c r="F100" s="142"/>
      <c r="G100" s="90" t="s">
        <v>24</v>
      </c>
      <c r="H100" s="142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197</v>
      </c>
      <c r="E101" s="17" t="s">
        <v>101</v>
      </c>
      <c r="F101" s="91">
        <v>4.0</v>
      </c>
      <c r="G101" s="90" t="s">
        <v>24</v>
      </c>
      <c r="H101" s="91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197</v>
      </c>
      <c r="E102" s="17" t="s">
        <v>133</v>
      </c>
      <c r="F102" s="91">
        <v>3.0</v>
      </c>
      <c r="G102" s="90" t="s">
        <v>24</v>
      </c>
      <c r="H102" s="91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205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7">
        <v>45953.0</v>
      </c>
      <c r="C111" s="39" t="s">
        <v>55</v>
      </c>
      <c r="D111" s="39" t="s">
        <v>197</v>
      </c>
      <c r="E111" s="17" t="s">
        <v>39</v>
      </c>
      <c r="F111" s="91">
        <v>1.0</v>
      </c>
      <c r="G111" s="90" t="s">
        <v>24</v>
      </c>
      <c r="H111" s="91">
        <v>3.0</v>
      </c>
      <c r="I111" s="17" t="s">
        <v>65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7">
        <v>45953.0</v>
      </c>
      <c r="C112" s="39" t="s">
        <v>52</v>
      </c>
      <c r="D112" s="39" t="s">
        <v>197</v>
      </c>
      <c r="E112" s="17" t="s">
        <v>60</v>
      </c>
      <c r="F112" s="91">
        <v>7.0</v>
      </c>
      <c r="G112" s="90" t="s">
        <v>24</v>
      </c>
      <c r="H112" s="91">
        <v>0.0</v>
      </c>
      <c r="I112" s="17" t="s">
        <v>117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39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5" t="s">
        <v>119</v>
      </c>
      <c r="AB112" s="23" t="s">
        <v>155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7">
        <v>45953.0</v>
      </c>
      <c r="C113" s="39" t="s">
        <v>53</v>
      </c>
      <c r="D113" s="39" t="s">
        <v>197</v>
      </c>
      <c r="E113" s="17" t="s">
        <v>169</v>
      </c>
      <c r="F113" s="91">
        <v>6.0</v>
      </c>
      <c r="G113" s="90" t="s">
        <v>24</v>
      </c>
      <c r="H113" s="91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7">
        <v>45950.0</v>
      </c>
      <c r="C114" s="39" t="s">
        <v>52</v>
      </c>
      <c r="D114" s="39" t="s">
        <v>197</v>
      </c>
      <c r="E114" s="44" t="s">
        <v>31</v>
      </c>
      <c r="F114" s="91">
        <v>4.0</v>
      </c>
      <c r="G114" s="90" t="s">
        <v>24</v>
      </c>
      <c r="H114" s="91">
        <v>3.0</v>
      </c>
      <c r="I114" s="44" t="s">
        <v>155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169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169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59</v>
      </c>
      <c r="F115" s="142"/>
      <c r="G115" s="90" t="s">
        <v>24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39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7">
        <v>45971.0</v>
      </c>
      <c r="C116" s="12" t="s">
        <v>52</v>
      </c>
      <c r="D116" s="39" t="s">
        <v>197</v>
      </c>
      <c r="E116" s="44" t="s">
        <v>65</v>
      </c>
      <c r="F116" s="15">
        <v>0.0</v>
      </c>
      <c r="G116" s="90" t="s">
        <v>24</v>
      </c>
      <c r="H116" s="91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7"/>
      <c r="C117" s="98"/>
      <c r="D117" s="94"/>
      <c r="E117" s="17">
        <v>0.0</v>
      </c>
      <c r="F117" s="16"/>
      <c r="G117" s="90" t="s">
        <v>24</v>
      </c>
      <c r="H117" s="142"/>
      <c r="I117" s="17" t="s">
        <v>39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155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7">
        <v>45965.0</v>
      </c>
      <c r="C118" s="39" t="s">
        <v>55</v>
      </c>
      <c r="D118" s="39" t="s">
        <v>197</v>
      </c>
      <c r="E118" s="17" t="s">
        <v>117</v>
      </c>
      <c r="F118" s="15">
        <v>1.0</v>
      </c>
      <c r="G118" s="90" t="s">
        <v>24</v>
      </c>
      <c r="H118" s="91">
        <v>4.0</v>
      </c>
      <c r="I118" s="17" t="s">
        <v>169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117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7">
        <v>45972.0</v>
      </c>
      <c r="C119" s="12" t="s">
        <v>55</v>
      </c>
      <c r="D119" s="39" t="s">
        <v>197</v>
      </c>
      <c r="E119" s="17" t="s">
        <v>64</v>
      </c>
      <c r="F119" s="15">
        <v>0.0</v>
      </c>
      <c r="G119" s="90" t="s">
        <v>24</v>
      </c>
      <c r="H119" s="91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117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7">
        <v>45965.0</v>
      </c>
      <c r="C120" s="39" t="s">
        <v>52</v>
      </c>
      <c r="D120" s="39" t="s">
        <v>197</v>
      </c>
      <c r="E120" s="17" t="s">
        <v>155</v>
      </c>
      <c r="F120" s="15">
        <v>6.0</v>
      </c>
      <c r="G120" s="90" t="s">
        <v>24</v>
      </c>
      <c r="H120" s="91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206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197</v>
      </c>
      <c r="E121" s="17" t="s">
        <v>169</v>
      </c>
      <c r="F121" s="91">
        <v>2.0</v>
      </c>
      <c r="G121" s="90" t="s">
        <v>24</v>
      </c>
      <c r="H121" s="91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197</v>
      </c>
      <c r="E122" s="44" t="s">
        <v>60</v>
      </c>
      <c r="F122" s="91">
        <v>7.0</v>
      </c>
      <c r="G122" s="90" t="s">
        <v>24</v>
      </c>
      <c r="H122" s="91">
        <v>0.0</v>
      </c>
      <c r="I122" s="44" t="s">
        <v>39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197</v>
      </c>
      <c r="E123" s="17" t="s">
        <v>31</v>
      </c>
      <c r="F123" s="91">
        <v>4.0</v>
      </c>
      <c r="G123" s="90" t="s">
        <v>24</v>
      </c>
      <c r="H123" s="91">
        <v>3.0</v>
      </c>
      <c r="I123" s="17" t="s">
        <v>117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197</v>
      </c>
      <c r="E124" s="17" t="s">
        <v>59</v>
      </c>
      <c r="F124" s="91">
        <v>2.0</v>
      </c>
      <c r="G124" s="90" t="s">
        <v>24</v>
      </c>
      <c r="H124" s="91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0" t="s">
        <v>24</v>
      </c>
      <c r="H125" s="142"/>
      <c r="I125" s="44" t="s">
        <v>155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197</v>
      </c>
      <c r="E126" s="17" t="s">
        <v>65</v>
      </c>
      <c r="F126" s="91">
        <v>3.0</v>
      </c>
      <c r="G126" s="90" t="s">
        <v>24</v>
      </c>
      <c r="H126" s="91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185</v>
      </c>
      <c r="D127" s="39" t="s">
        <v>197</v>
      </c>
      <c r="E127" s="17" t="s">
        <v>39</v>
      </c>
      <c r="F127" s="91">
        <v>0.0</v>
      </c>
      <c r="G127" s="90" t="s">
        <v>24</v>
      </c>
      <c r="H127" s="91">
        <v>8.0</v>
      </c>
      <c r="I127" s="17" t="s">
        <v>169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7"/>
      <c r="C128" s="94"/>
      <c r="D128" s="39" t="s">
        <v>197</v>
      </c>
      <c r="E128" s="17" t="s">
        <v>60</v>
      </c>
      <c r="F128" s="142"/>
      <c r="G128" s="90" t="s">
        <v>24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167</v>
      </c>
      <c r="D129" s="39" t="s">
        <v>197</v>
      </c>
      <c r="E129" s="17" t="s">
        <v>117</v>
      </c>
      <c r="F129" s="91">
        <v>2.0</v>
      </c>
      <c r="G129" s="90" t="s">
        <v>24</v>
      </c>
      <c r="H129" s="91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197</v>
      </c>
      <c r="E130" s="44" t="s">
        <v>64</v>
      </c>
      <c r="F130" s="91">
        <v>0.0</v>
      </c>
      <c r="G130" s="90" t="s">
        <v>24</v>
      </c>
      <c r="H130" s="91">
        <v>4.0</v>
      </c>
      <c r="I130" s="44" t="s">
        <v>155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197</v>
      </c>
      <c r="E131" s="17" t="s">
        <v>59</v>
      </c>
      <c r="F131" s="91">
        <v>0.0</v>
      </c>
      <c r="G131" s="90" t="s">
        <v>24</v>
      </c>
      <c r="H131" s="91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7">
        <v>46104.0</v>
      </c>
      <c r="C132" s="39" t="s">
        <v>52</v>
      </c>
      <c r="D132" s="39" t="s">
        <v>197</v>
      </c>
      <c r="E132" s="17" t="s">
        <v>31</v>
      </c>
      <c r="F132" s="91">
        <v>2.0</v>
      </c>
      <c r="G132" s="90" t="s">
        <v>24</v>
      </c>
      <c r="H132" s="91">
        <v>1.0</v>
      </c>
      <c r="I132" s="17" t="s">
        <v>39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197</v>
      </c>
      <c r="E133" s="17" t="s">
        <v>169</v>
      </c>
      <c r="F133" s="91">
        <v>1.0</v>
      </c>
      <c r="G133" s="90" t="s">
        <v>24</v>
      </c>
      <c r="H133" s="91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197</v>
      </c>
      <c r="E134" s="44" t="s">
        <v>155</v>
      </c>
      <c r="F134" s="91">
        <v>6.0</v>
      </c>
      <c r="G134" s="90" t="s">
        <v>24</v>
      </c>
      <c r="H134" s="91">
        <v>3.0</v>
      </c>
      <c r="I134" s="44" t="s">
        <v>117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0" t="s">
        <v>24</v>
      </c>
      <c r="H135" s="142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7">
        <v>46097.0</v>
      </c>
      <c r="C136" s="39" t="s">
        <v>55</v>
      </c>
      <c r="D136" s="39" t="s">
        <v>197</v>
      </c>
      <c r="E136" s="44" t="s">
        <v>65</v>
      </c>
      <c r="F136" s="91">
        <v>1.0</v>
      </c>
      <c r="G136" s="90" t="s">
        <v>24</v>
      </c>
      <c r="H136" s="91">
        <v>4.0</v>
      </c>
      <c r="I136" s="44" t="s">
        <v>155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7">
        <v>46100.0</v>
      </c>
      <c r="C137" s="39" t="s">
        <v>55</v>
      </c>
      <c r="D137" s="39" t="s">
        <v>197</v>
      </c>
      <c r="E137" s="17" t="s">
        <v>39</v>
      </c>
      <c r="F137" s="91">
        <v>3.0</v>
      </c>
      <c r="G137" s="90" t="s">
        <v>24</v>
      </c>
      <c r="H137" s="91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7">
        <v>46100.0</v>
      </c>
      <c r="C138" s="39" t="s">
        <v>52</v>
      </c>
      <c r="D138" s="39" t="s">
        <v>197</v>
      </c>
      <c r="E138" s="17" t="s">
        <v>60</v>
      </c>
      <c r="F138" s="91">
        <v>3.0</v>
      </c>
      <c r="G138" s="90" t="s">
        <v>24</v>
      </c>
      <c r="H138" s="91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7"/>
      <c r="C139" s="94"/>
      <c r="D139" s="94"/>
      <c r="E139" s="17" t="s">
        <v>169</v>
      </c>
      <c r="F139" s="142"/>
      <c r="G139" s="90" t="s">
        <v>24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7">
        <v>46097.0</v>
      </c>
      <c r="C140" s="39" t="s">
        <v>53</v>
      </c>
      <c r="D140" s="39" t="s">
        <v>197</v>
      </c>
      <c r="E140" s="17" t="s">
        <v>117</v>
      </c>
      <c r="F140" s="91">
        <v>0.0</v>
      </c>
      <c r="G140" s="90" t="s">
        <v>24</v>
      </c>
      <c r="H140" s="91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7">
        <v>46106.0</v>
      </c>
      <c r="C141" s="39" t="s">
        <v>53</v>
      </c>
      <c r="D141" s="39" t="s">
        <v>197</v>
      </c>
      <c r="E141" s="17" t="s">
        <v>64</v>
      </c>
      <c r="F141" s="91">
        <v>2.0</v>
      </c>
      <c r="G141" s="90" t="s">
        <v>24</v>
      </c>
      <c r="H141" s="91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7">
        <v>46111.0</v>
      </c>
      <c r="C142" s="39" t="s">
        <v>55</v>
      </c>
      <c r="D142" s="39" t="s">
        <v>197</v>
      </c>
      <c r="E142" s="17" t="s">
        <v>155</v>
      </c>
      <c r="F142" s="91">
        <v>8.0</v>
      </c>
      <c r="G142" s="90" t="s">
        <v>24</v>
      </c>
      <c r="H142" s="91">
        <v>1.0</v>
      </c>
      <c r="I142" s="17" t="s">
        <v>39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7">
        <v>46104.0</v>
      </c>
      <c r="C143" s="39" t="s">
        <v>53</v>
      </c>
      <c r="D143" s="39" t="s">
        <v>197</v>
      </c>
      <c r="E143" s="17" t="s">
        <v>59</v>
      </c>
      <c r="F143" s="91">
        <v>0.0</v>
      </c>
      <c r="G143" s="90" t="s">
        <v>24</v>
      </c>
      <c r="H143" s="91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7">
        <v>46111.0</v>
      </c>
      <c r="C144" s="39" t="s">
        <v>53</v>
      </c>
      <c r="D144" s="39" t="s">
        <v>197</v>
      </c>
      <c r="E144" s="17" t="s">
        <v>31</v>
      </c>
      <c r="F144" s="91">
        <v>7.0</v>
      </c>
      <c r="G144" s="90" t="s">
        <v>24</v>
      </c>
      <c r="H144" s="91">
        <v>1.0</v>
      </c>
      <c r="I144" s="17" t="s">
        <v>169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0" t="s">
        <v>24</v>
      </c>
      <c r="H145" s="142"/>
      <c r="I145" s="17" t="s">
        <v>117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172</v>
      </c>
      <c r="D146" s="39" t="s">
        <v>197</v>
      </c>
      <c r="E146" s="17" t="s">
        <v>65</v>
      </c>
      <c r="F146" s="91">
        <v>2.0</v>
      </c>
      <c r="G146" s="90" t="s">
        <v>24</v>
      </c>
      <c r="H146" s="91">
        <v>2.0</v>
      </c>
      <c r="I146" s="17" t="s">
        <v>117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162</v>
      </c>
      <c r="D147" s="39" t="s">
        <v>197</v>
      </c>
      <c r="E147" s="17" t="s">
        <v>39</v>
      </c>
      <c r="F147" s="91">
        <v>14.0</v>
      </c>
      <c r="G147" s="90" t="s">
        <v>24</v>
      </c>
      <c r="H147" s="91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197</v>
      </c>
      <c r="E148" s="17" t="s">
        <v>60</v>
      </c>
      <c r="F148" s="91">
        <v>1.0</v>
      </c>
      <c r="G148" s="90" t="s">
        <v>24</v>
      </c>
      <c r="H148" s="91">
        <v>6.0</v>
      </c>
      <c r="I148" s="17" t="s">
        <v>155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197</v>
      </c>
      <c r="E149" s="17" t="s">
        <v>169</v>
      </c>
      <c r="F149" s="91">
        <v>3.0</v>
      </c>
      <c r="G149" s="90" t="s">
        <v>24</v>
      </c>
      <c r="H149" s="91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31</v>
      </c>
      <c r="F150" s="142"/>
      <c r="G150" s="90" t="s">
        <v>24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0" t="s">
        <v>24</v>
      </c>
      <c r="H151" s="142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7">
        <v>46134.0</v>
      </c>
      <c r="C152" s="39" t="s">
        <v>53</v>
      </c>
      <c r="D152" s="39" t="s">
        <v>197</v>
      </c>
      <c r="E152" s="17" t="s">
        <v>117</v>
      </c>
      <c r="F152" s="91">
        <v>2.0</v>
      </c>
      <c r="G152" s="90" t="s">
        <v>24</v>
      </c>
      <c r="H152" s="91">
        <v>9.0</v>
      </c>
      <c r="I152" s="17" t="s">
        <v>39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7">
        <v>46134.0</v>
      </c>
      <c r="C153" s="39" t="s">
        <v>55</v>
      </c>
      <c r="D153" s="39" t="s">
        <v>197</v>
      </c>
      <c r="E153" s="17" t="s">
        <v>64</v>
      </c>
      <c r="F153" s="91">
        <v>6.0</v>
      </c>
      <c r="G153" s="90" t="s">
        <v>24</v>
      </c>
      <c r="H153" s="91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7">
        <v>46133.0</v>
      </c>
      <c r="C154" s="39" t="s">
        <v>53</v>
      </c>
      <c r="D154" s="39" t="s">
        <v>197</v>
      </c>
      <c r="E154" s="17" t="s">
        <v>155</v>
      </c>
      <c r="F154" s="91">
        <v>2.0</v>
      </c>
      <c r="G154" s="90" t="s">
        <v>24</v>
      </c>
      <c r="H154" s="91">
        <v>1.0</v>
      </c>
      <c r="I154" s="17" t="s">
        <v>169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7">
        <v>46134.0</v>
      </c>
      <c r="C155" s="39" t="s">
        <v>52</v>
      </c>
      <c r="D155" s="39" t="s">
        <v>197</v>
      </c>
      <c r="E155" s="17" t="s">
        <v>59</v>
      </c>
      <c r="F155" s="91">
        <v>2.0</v>
      </c>
      <c r="G155" s="90" t="s">
        <v>24</v>
      </c>
      <c r="H155" s="91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207</v>
      </c>
      <c r="H160" s="2"/>
      <c r="I160" s="3"/>
      <c r="J160" s="63"/>
      <c r="K160" s="4" t="str">
        <f t="shared" si="19"/>
        <v/>
      </c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>
        <v>1.0</v>
      </c>
      <c r="B162" s="43">
        <v>46155.0</v>
      </c>
      <c r="C162" s="12" t="s">
        <v>55</v>
      </c>
      <c r="D162" s="12" t="s">
        <v>197</v>
      </c>
      <c r="E162" s="28" t="s">
        <v>115</v>
      </c>
      <c r="F162" s="13"/>
      <c r="G162" s="16" t="s">
        <v>24</v>
      </c>
      <c r="H162" s="13"/>
      <c r="I162" s="44" t="s">
        <v>101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115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103">
        <v>1.0</v>
      </c>
      <c r="AB162" s="70" t="str">
        <f t="array" ref="AB162:AJ164">SORT(O162:X164,2,FALSE,9,FALSE,8,FALSE())</f>
        <v>Contabilidade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>
        <v>2.0</v>
      </c>
      <c r="B163" s="43"/>
      <c r="C163" s="12"/>
      <c r="D163" s="12"/>
      <c r="E163" s="44" t="s">
        <v>101</v>
      </c>
      <c r="F163" s="13"/>
      <c r="G163" s="16" t="s">
        <v>24</v>
      </c>
      <c r="H163" s="13"/>
      <c r="I163" s="44" t="s">
        <v>155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145" t="s">
        <v>101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103">
        <v>2.0</v>
      </c>
      <c r="AB163" s="70" t="s">
        <v>101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>
        <v>3.0</v>
      </c>
      <c r="B164" s="43"/>
      <c r="C164" s="12"/>
      <c r="D164" s="12"/>
      <c r="E164" s="44" t="s">
        <v>155</v>
      </c>
      <c r="F164" s="13"/>
      <c r="G164" s="16" t="s">
        <v>24</v>
      </c>
      <c r="H164" s="13"/>
      <c r="I164" s="28" t="s">
        <v>115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155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155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208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3">
        <v>46155.0</v>
      </c>
      <c r="C171" s="12" t="s">
        <v>52</v>
      </c>
      <c r="D171" s="12" t="s">
        <v>197</v>
      </c>
      <c r="E171" s="44" t="s">
        <v>23</v>
      </c>
      <c r="F171" s="31"/>
      <c r="G171" s="16" t="s">
        <v>24</v>
      </c>
      <c r="H171" s="31"/>
      <c r="I171" s="17" t="s">
        <v>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53</v>
      </c>
      <c r="D172" s="12" t="s">
        <v>197</v>
      </c>
      <c r="E172" s="28" t="s">
        <v>25</v>
      </c>
      <c r="F172" s="31"/>
      <c r="G172" s="16" t="s">
        <v>24</v>
      </c>
      <c r="H172" s="31"/>
      <c r="I172" s="17" t="s">
        <v>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55</v>
      </c>
      <c r="D173" s="12" t="s">
        <v>197</v>
      </c>
      <c r="E173" s="28" t="s">
        <v>33</v>
      </c>
      <c r="F173" s="31"/>
      <c r="G173" s="16" t="s">
        <v>24</v>
      </c>
      <c r="H173" s="31"/>
      <c r="I173" s="28" t="s">
        <v>36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52</v>
      </c>
      <c r="D174" s="12" t="s">
        <v>197</v>
      </c>
      <c r="E174" s="28" t="s">
        <v>118</v>
      </c>
      <c r="F174" s="31"/>
      <c r="G174" s="16" t="s">
        <v>24</v>
      </c>
      <c r="H174" s="31"/>
      <c r="I174" s="28" t="s">
        <v>37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81</v>
      </c>
      <c r="B175" s="43"/>
      <c r="C175" s="12"/>
      <c r="D175" s="12"/>
      <c r="E175" s="44" t="s">
        <v>82</v>
      </c>
      <c r="F175" s="31"/>
      <c r="G175" s="16" t="s">
        <v>24</v>
      </c>
      <c r="H175" s="31"/>
      <c r="I175" s="44" t="s">
        <v>83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6"/>
      <c r="C176" s="31"/>
      <c r="D176" s="12"/>
      <c r="E176" s="51" t="s">
        <v>84</v>
      </c>
      <c r="F176" s="13"/>
      <c r="G176" s="16" t="s">
        <v>24</v>
      </c>
      <c r="H176" s="13"/>
      <c r="I176" s="44" t="s">
        <v>85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86</v>
      </c>
      <c r="B177" s="30"/>
      <c r="C177" s="31"/>
      <c r="D177" s="12"/>
      <c r="E177" s="44" t="s">
        <v>87</v>
      </c>
      <c r="F177" s="31"/>
      <c r="G177" s="16" t="s">
        <v>24</v>
      </c>
      <c r="H177" s="31"/>
      <c r="I177" s="61" t="s">
        <v>88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89</v>
      </c>
      <c r="B178" s="30"/>
      <c r="C178" s="31"/>
      <c r="D178" s="12"/>
      <c r="E178" s="44" t="s">
        <v>90</v>
      </c>
      <c r="F178" s="31"/>
      <c r="G178" s="16" t="s">
        <v>24</v>
      </c>
      <c r="H178" s="31"/>
      <c r="I178" s="44" t="s">
        <v>91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1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1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1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1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1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1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1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1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1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1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1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1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1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1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1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1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1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1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1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1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1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1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1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1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1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1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1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1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1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1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1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1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1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1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1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1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1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1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1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1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1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1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1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1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1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1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1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1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1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1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1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1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1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1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1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1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1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1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1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1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6" t="s">
        <v>209</v>
      </c>
      <c r="I1" s="147"/>
      <c r="AA1" s="3"/>
      <c r="AB1" s="147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210</v>
      </c>
      <c r="U2" s="9" t="s">
        <v>211</v>
      </c>
      <c r="V2" s="9" t="s">
        <v>212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210</v>
      </c>
      <c r="AH2" s="5" t="s">
        <v>211</v>
      </c>
      <c r="AI2" s="5" t="s">
        <v>212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48"/>
      <c r="K3" s="149">
        <f t="shared" ref="K3:K68" si="1">IFS(F3=H3+2,3,F3=H3-2,0,F3=H3+1,2,F3=H3-1,1,F3="","")</f>
        <v>1</v>
      </c>
      <c r="L3" s="150">
        <f t="shared" ref="L3:L68" si="2">IFS(H3=F3+2,3,H3=F3-2,0,H3=F3+1,2,H3=F3-1,1,H3="","")</f>
        <v>2</v>
      </c>
      <c r="M3" s="148"/>
      <c r="N3" s="150">
        <v>1.0</v>
      </c>
      <c r="O3" s="151" t="s">
        <v>23</v>
      </c>
      <c r="P3" s="150">
        <f t="shared" ref="P3:P14" si="3">SUMIF(E$3:E$68,O3,K$3:K$68)+SUMIF(I$3:I$68,O3,L$3:L$68)</f>
        <v>29</v>
      </c>
      <c r="Q3" s="152">
        <f t="shared" ref="Q3:Q14" si="4">COUNTIFS(E$3:E$68,O3,K$3:K$68,2)+COUNTIFS(I$3:I$68,O3,L$3:L$68,2)+COUNTIFS(E$3:E$68,O3,K$3:K$68,3)+COUNTIFS(I$3:I$68,O3,L$3:L$68,3)</f>
        <v>10</v>
      </c>
      <c r="R3" s="152"/>
      <c r="S3" s="153">
        <f t="shared" ref="S3:S14" si="5">COUNTIFS(E$3:E$68,O3,K$3:K$68,1)+COUNTIFS(I$3:I$68,O3,L$3:L$68,1)+COUNTIFS(E$3:E$68,O3,K$3:K$68,0)+COUNTIFS(I$3:I$68,O3,L$3:L$68,0)</f>
        <v>1</v>
      </c>
      <c r="T3" s="150">
        <f t="shared" ref="T3:T14" si="6">SUMIF(E$3:E$68,O3,F$3:F$68)+SUMIF(I$3:I$68,O3,H$3:H$68)</f>
        <v>21</v>
      </c>
      <c r="U3" s="153">
        <f t="shared" ref="U3:U14" si="7">SUMIF(E$3:E$68,O3,H$3:H$68)+SUMIF(I$3:I$68,O3,F$3:F$68)</f>
        <v>4</v>
      </c>
      <c r="V3" s="150">
        <f t="shared" ref="V3:V14" si="8">T3-U3</f>
        <v>17</v>
      </c>
      <c r="X3" s="136" t="s">
        <v>26</v>
      </c>
      <c r="Y3" s="136" t="s">
        <v>13</v>
      </c>
      <c r="AA3" s="22" t="s">
        <v>29</v>
      </c>
      <c r="AB3" s="70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120</v>
      </c>
      <c r="J4" s="148"/>
      <c r="K4" s="149">
        <f t="shared" si="1"/>
        <v>0</v>
      </c>
      <c r="L4" s="150">
        <f t="shared" si="2"/>
        <v>3</v>
      </c>
      <c r="M4" s="148"/>
      <c r="N4" s="150">
        <v>2.0</v>
      </c>
      <c r="O4" s="151" t="s">
        <v>155</v>
      </c>
      <c r="P4" s="150">
        <f t="shared" si="3"/>
        <v>22</v>
      </c>
      <c r="Q4" s="152">
        <f t="shared" si="4"/>
        <v>7</v>
      </c>
      <c r="R4" s="152"/>
      <c r="S4" s="153">
        <f t="shared" si="5"/>
        <v>4</v>
      </c>
      <c r="T4" s="150">
        <f t="shared" si="6"/>
        <v>15</v>
      </c>
      <c r="U4" s="153">
        <f t="shared" si="7"/>
        <v>8</v>
      </c>
      <c r="V4" s="150">
        <f t="shared" si="8"/>
        <v>7</v>
      </c>
      <c r="X4" s="137" t="s">
        <v>66</v>
      </c>
      <c r="Y4" s="137">
        <v>2.0</v>
      </c>
      <c r="AA4" s="22" t="s">
        <v>34</v>
      </c>
      <c r="AB4" s="70" t="s">
        <v>23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4" t="s">
        <v>32</v>
      </c>
      <c r="F5" s="13">
        <v>0.0</v>
      </c>
      <c r="G5" s="31" t="s">
        <v>24</v>
      </c>
      <c r="H5" s="13">
        <v>2.0</v>
      </c>
      <c r="I5" s="17" t="s">
        <v>203</v>
      </c>
      <c r="J5" s="148"/>
      <c r="K5" s="149">
        <f t="shared" si="1"/>
        <v>0</v>
      </c>
      <c r="L5" s="150">
        <f t="shared" si="2"/>
        <v>3</v>
      </c>
      <c r="M5" s="148"/>
      <c r="N5" s="150">
        <v>3.0</v>
      </c>
      <c r="O5" s="151" t="s">
        <v>25</v>
      </c>
      <c r="P5" s="150">
        <f t="shared" si="3"/>
        <v>30</v>
      </c>
      <c r="Q5" s="152">
        <f t="shared" si="4"/>
        <v>10</v>
      </c>
      <c r="R5" s="152"/>
      <c r="S5" s="153">
        <f t="shared" si="5"/>
        <v>1</v>
      </c>
      <c r="T5" s="150">
        <f t="shared" si="6"/>
        <v>21</v>
      </c>
      <c r="U5" s="153">
        <f t="shared" si="7"/>
        <v>3</v>
      </c>
      <c r="V5" s="150">
        <f t="shared" si="8"/>
        <v>18</v>
      </c>
      <c r="X5" s="137" t="s">
        <v>31</v>
      </c>
      <c r="Y5" s="137">
        <v>1.0</v>
      </c>
      <c r="AA5" s="22" t="s">
        <v>38</v>
      </c>
      <c r="AB5" s="70" t="s">
        <v>36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36</v>
      </c>
      <c r="F6" s="13">
        <v>2.0</v>
      </c>
      <c r="G6" s="31" t="s">
        <v>24</v>
      </c>
      <c r="H6" s="13">
        <v>0.0</v>
      </c>
      <c r="I6" s="17" t="s">
        <v>43</v>
      </c>
      <c r="J6" s="148"/>
      <c r="K6" s="149">
        <f t="shared" si="1"/>
        <v>3</v>
      </c>
      <c r="L6" s="150">
        <f t="shared" si="2"/>
        <v>0</v>
      </c>
      <c r="M6" s="148"/>
      <c r="N6" s="150">
        <v>4.0</v>
      </c>
      <c r="O6" s="151" t="s">
        <v>118</v>
      </c>
      <c r="P6" s="150">
        <f t="shared" si="3"/>
        <v>10</v>
      </c>
      <c r="Q6" s="152">
        <f t="shared" si="4"/>
        <v>4</v>
      </c>
      <c r="R6" s="152"/>
      <c r="S6" s="153">
        <f t="shared" si="5"/>
        <v>7</v>
      </c>
      <c r="T6" s="150">
        <f t="shared" si="6"/>
        <v>8</v>
      </c>
      <c r="U6" s="153">
        <f t="shared" si="7"/>
        <v>16</v>
      </c>
      <c r="V6" s="150">
        <f t="shared" si="8"/>
        <v>-8</v>
      </c>
      <c r="AA6" s="22" t="s">
        <v>42</v>
      </c>
      <c r="AB6" s="70" t="s">
        <v>61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118</v>
      </c>
      <c r="F7" s="13">
        <v>2.0</v>
      </c>
      <c r="G7" s="31" t="s">
        <v>24</v>
      </c>
      <c r="H7" s="13">
        <v>0.0</v>
      </c>
      <c r="I7" s="17" t="s">
        <v>66</v>
      </c>
      <c r="J7" s="148"/>
      <c r="K7" s="149">
        <f t="shared" si="1"/>
        <v>3</v>
      </c>
      <c r="L7" s="150">
        <f t="shared" si="2"/>
        <v>0</v>
      </c>
      <c r="M7" s="148"/>
      <c r="N7" s="150">
        <v>5.0</v>
      </c>
      <c r="O7" s="151" t="s">
        <v>120</v>
      </c>
      <c r="P7" s="150">
        <f t="shared" si="3"/>
        <v>15</v>
      </c>
      <c r="Q7" s="152">
        <f t="shared" si="4"/>
        <v>5</v>
      </c>
      <c r="R7" s="152"/>
      <c r="S7" s="153">
        <f t="shared" si="5"/>
        <v>6</v>
      </c>
      <c r="T7" s="150">
        <f t="shared" si="6"/>
        <v>11</v>
      </c>
      <c r="U7" s="153">
        <f t="shared" si="7"/>
        <v>13</v>
      </c>
      <c r="V7" s="150">
        <f t="shared" si="8"/>
        <v>-2</v>
      </c>
      <c r="AA7" s="22" t="s">
        <v>44</v>
      </c>
      <c r="AB7" s="70" t="s">
        <v>155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155</v>
      </c>
      <c r="J8" s="148"/>
      <c r="K8" s="149">
        <f t="shared" si="1"/>
        <v>3</v>
      </c>
      <c r="L8" s="150">
        <f t="shared" si="2"/>
        <v>0</v>
      </c>
      <c r="M8" s="148"/>
      <c r="N8" s="150">
        <v>6.0</v>
      </c>
      <c r="O8" s="151" t="s">
        <v>36</v>
      </c>
      <c r="P8" s="150">
        <f t="shared" si="3"/>
        <v>26</v>
      </c>
      <c r="Q8" s="152">
        <f t="shared" si="4"/>
        <v>9</v>
      </c>
      <c r="R8" s="152"/>
      <c r="S8" s="153">
        <f t="shared" si="5"/>
        <v>2</v>
      </c>
      <c r="T8" s="150">
        <f t="shared" si="6"/>
        <v>18</v>
      </c>
      <c r="U8" s="153">
        <f t="shared" si="7"/>
        <v>5</v>
      </c>
      <c r="V8" s="150">
        <f t="shared" si="8"/>
        <v>13</v>
      </c>
      <c r="AA8" s="22" t="s">
        <v>47</v>
      </c>
      <c r="AB8" s="70" t="s">
        <v>43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48"/>
      <c r="K9" s="149">
        <f t="shared" si="1"/>
        <v>1</v>
      </c>
      <c r="L9" s="150">
        <f t="shared" si="2"/>
        <v>2</v>
      </c>
      <c r="M9" s="148"/>
      <c r="N9" s="150">
        <v>7.0</v>
      </c>
      <c r="O9" s="151" t="s">
        <v>203</v>
      </c>
      <c r="P9" s="150">
        <f t="shared" si="3"/>
        <v>9</v>
      </c>
      <c r="Q9" s="152">
        <f t="shared" si="4"/>
        <v>3</v>
      </c>
      <c r="R9" s="152"/>
      <c r="S9" s="153">
        <f t="shared" si="5"/>
        <v>8</v>
      </c>
      <c r="T9" s="150">
        <f t="shared" si="6"/>
        <v>7</v>
      </c>
      <c r="U9" s="153">
        <f t="shared" si="7"/>
        <v>17</v>
      </c>
      <c r="V9" s="150">
        <f t="shared" si="8"/>
        <v>-10</v>
      </c>
      <c r="AA9" s="22">
        <v>7.0</v>
      </c>
      <c r="AB9" s="70" t="s">
        <v>120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120</v>
      </c>
      <c r="F10" s="13">
        <v>0.0</v>
      </c>
      <c r="G10" s="31" t="s">
        <v>24</v>
      </c>
      <c r="H10" s="13">
        <v>2.0</v>
      </c>
      <c r="I10" s="17" t="s">
        <v>23</v>
      </c>
      <c r="J10" s="148"/>
      <c r="K10" s="149">
        <f t="shared" si="1"/>
        <v>0</v>
      </c>
      <c r="L10" s="150">
        <f t="shared" si="2"/>
        <v>3</v>
      </c>
      <c r="M10" s="148"/>
      <c r="N10" s="150">
        <v>8.0</v>
      </c>
      <c r="O10" s="151" t="s">
        <v>32</v>
      </c>
      <c r="P10" s="150">
        <f t="shared" si="3"/>
        <v>6</v>
      </c>
      <c r="Q10" s="152">
        <f t="shared" si="4"/>
        <v>2</v>
      </c>
      <c r="R10" s="152"/>
      <c r="S10" s="153">
        <f t="shared" si="5"/>
        <v>9</v>
      </c>
      <c r="T10" s="150">
        <f t="shared" si="6"/>
        <v>5</v>
      </c>
      <c r="U10" s="153">
        <f t="shared" si="7"/>
        <v>19</v>
      </c>
      <c r="V10" s="150">
        <f t="shared" si="8"/>
        <v>-14</v>
      </c>
      <c r="AA10" s="22">
        <v>8.0</v>
      </c>
      <c r="AB10" s="70" t="s">
        <v>118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203</v>
      </c>
      <c r="F11" s="13">
        <v>0.0</v>
      </c>
      <c r="G11" s="31" t="s">
        <v>24</v>
      </c>
      <c r="H11" s="13">
        <v>2.0</v>
      </c>
      <c r="I11" s="17" t="s">
        <v>31</v>
      </c>
      <c r="J11" s="148"/>
      <c r="K11" s="149">
        <f t="shared" si="1"/>
        <v>0</v>
      </c>
      <c r="L11" s="150">
        <f t="shared" si="2"/>
        <v>3</v>
      </c>
      <c r="M11" s="148"/>
      <c r="N11" s="150">
        <v>9.0</v>
      </c>
      <c r="O11" s="151" t="s">
        <v>43</v>
      </c>
      <c r="P11" s="150">
        <f t="shared" si="3"/>
        <v>17</v>
      </c>
      <c r="Q11" s="152">
        <f t="shared" si="4"/>
        <v>5</v>
      </c>
      <c r="R11" s="152"/>
      <c r="S11" s="153">
        <f t="shared" si="5"/>
        <v>6</v>
      </c>
      <c r="T11" s="150">
        <f t="shared" si="6"/>
        <v>13</v>
      </c>
      <c r="U11" s="153">
        <f t="shared" si="7"/>
        <v>13</v>
      </c>
      <c r="V11" s="150">
        <f t="shared" si="8"/>
        <v>0</v>
      </c>
      <c r="AA11" s="125" t="s">
        <v>104</v>
      </c>
      <c r="AB11" s="70" t="s">
        <v>31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48"/>
      <c r="K12" s="149">
        <f t="shared" si="1"/>
        <v>2</v>
      </c>
      <c r="L12" s="150">
        <f t="shared" si="2"/>
        <v>1</v>
      </c>
      <c r="M12" s="148"/>
      <c r="N12" s="150">
        <v>10.0</v>
      </c>
      <c r="O12" s="154" t="s">
        <v>31</v>
      </c>
      <c r="P12" s="150">
        <f t="shared" si="3"/>
        <v>10</v>
      </c>
      <c r="Q12" s="152">
        <f t="shared" si="4"/>
        <v>3</v>
      </c>
      <c r="R12" s="152"/>
      <c r="S12" s="153">
        <f t="shared" si="5"/>
        <v>8</v>
      </c>
      <c r="T12" s="150">
        <f t="shared" si="6"/>
        <v>7</v>
      </c>
      <c r="U12" s="153">
        <f t="shared" si="7"/>
        <v>16</v>
      </c>
      <c r="V12" s="150">
        <f t="shared" si="8"/>
        <v>-9</v>
      </c>
      <c r="AA12" s="76">
        <v>10.0</v>
      </c>
      <c r="AB12" s="70" t="s">
        <v>203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36</v>
      </c>
      <c r="J13" s="148"/>
      <c r="K13" s="149">
        <f t="shared" si="1"/>
        <v>0</v>
      </c>
      <c r="L13" s="150">
        <f t="shared" si="2"/>
        <v>3</v>
      </c>
      <c r="M13" s="148"/>
      <c r="N13" s="150">
        <v>11.0</v>
      </c>
      <c r="O13" s="155" t="s">
        <v>66</v>
      </c>
      <c r="P13" s="150">
        <f t="shared" si="3"/>
        <v>1</v>
      </c>
      <c r="Q13" s="152">
        <f t="shared" si="4"/>
        <v>0</v>
      </c>
      <c r="R13" s="152"/>
      <c r="S13" s="153">
        <f t="shared" si="5"/>
        <v>11</v>
      </c>
      <c r="T13" s="150">
        <f t="shared" si="6"/>
        <v>1</v>
      </c>
      <c r="U13" s="153">
        <f t="shared" si="7"/>
        <v>22</v>
      </c>
      <c r="V13" s="150">
        <f t="shared" si="8"/>
        <v>-21</v>
      </c>
      <c r="AA13" s="76">
        <v>11.0</v>
      </c>
      <c r="AB13" s="70" t="s">
        <v>32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6" t="s">
        <v>35</v>
      </c>
      <c r="D14" s="12" t="s">
        <v>22</v>
      </c>
      <c r="E14" s="17" t="s">
        <v>155</v>
      </c>
      <c r="F14" s="13">
        <v>2.0</v>
      </c>
      <c r="G14" s="31" t="s">
        <v>24</v>
      </c>
      <c r="H14" s="13">
        <v>0.0</v>
      </c>
      <c r="I14" s="17" t="s">
        <v>118</v>
      </c>
      <c r="J14" s="148"/>
      <c r="K14" s="149">
        <f t="shared" si="1"/>
        <v>3</v>
      </c>
      <c r="L14" s="150">
        <f t="shared" si="2"/>
        <v>0</v>
      </c>
      <c r="M14" s="148"/>
      <c r="N14" s="156">
        <v>12.0</v>
      </c>
      <c r="O14" s="155" t="s">
        <v>61</v>
      </c>
      <c r="P14" s="150">
        <f t="shared" si="3"/>
        <v>23</v>
      </c>
      <c r="Q14" s="152">
        <f t="shared" si="4"/>
        <v>8</v>
      </c>
      <c r="S14" s="153">
        <f t="shared" si="5"/>
        <v>3</v>
      </c>
      <c r="T14" s="150">
        <f t="shared" si="6"/>
        <v>17</v>
      </c>
      <c r="U14" s="153">
        <f t="shared" si="7"/>
        <v>8</v>
      </c>
      <c r="V14" s="150">
        <f t="shared" si="8"/>
        <v>9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6" t="s">
        <v>35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120</v>
      </c>
      <c r="J15" s="148"/>
      <c r="K15" s="149">
        <f t="shared" si="1"/>
        <v>3</v>
      </c>
      <c r="L15" s="150">
        <f t="shared" si="2"/>
        <v>0</v>
      </c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AA15" s="35" t="s">
        <v>213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35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203</v>
      </c>
      <c r="J16" s="148"/>
      <c r="K16" s="149">
        <f t="shared" si="1"/>
        <v>3</v>
      </c>
      <c r="L16" s="150">
        <f t="shared" si="2"/>
        <v>0</v>
      </c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AA16" s="79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48"/>
      <c r="K17" s="149">
        <f t="shared" si="1"/>
        <v>0</v>
      </c>
      <c r="L17" s="150">
        <f t="shared" si="2"/>
        <v>3</v>
      </c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AA17" s="157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185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58"/>
      <c r="K18" s="149">
        <f t="shared" si="1"/>
        <v>2</v>
      </c>
      <c r="L18" s="150">
        <f t="shared" si="2"/>
        <v>1</v>
      </c>
      <c r="M18" s="148"/>
      <c r="N18" s="148"/>
      <c r="O18" s="148"/>
      <c r="P18" s="148"/>
      <c r="R18" s="148"/>
      <c r="S18" s="148"/>
      <c r="T18" s="148"/>
      <c r="U18" s="148"/>
      <c r="V18" s="148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167</v>
      </c>
      <c r="D19" s="12" t="s">
        <v>22</v>
      </c>
      <c r="E19" s="17" t="s">
        <v>36</v>
      </c>
      <c r="F19" s="13">
        <v>2.0</v>
      </c>
      <c r="G19" s="31" t="s">
        <v>24</v>
      </c>
      <c r="H19" s="13">
        <v>0.0</v>
      </c>
      <c r="I19" s="17" t="s">
        <v>155</v>
      </c>
      <c r="J19" s="148"/>
      <c r="K19" s="149">
        <f t="shared" si="1"/>
        <v>3</v>
      </c>
      <c r="L19" s="150">
        <f t="shared" si="2"/>
        <v>0</v>
      </c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118</v>
      </c>
      <c r="J20" s="148"/>
      <c r="K20" s="149">
        <f t="shared" si="1"/>
        <v>3</v>
      </c>
      <c r="L20" s="150">
        <f t="shared" si="2"/>
        <v>0</v>
      </c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6" t="s">
        <v>30</v>
      </c>
      <c r="D21" s="12" t="s">
        <v>22</v>
      </c>
      <c r="E21" s="17" t="s">
        <v>120</v>
      </c>
      <c r="F21" s="13">
        <v>2.0</v>
      </c>
      <c r="G21" s="31" t="s">
        <v>24</v>
      </c>
      <c r="H21" s="13">
        <v>0.0</v>
      </c>
      <c r="I21" s="17" t="s">
        <v>61</v>
      </c>
      <c r="J21" s="148"/>
      <c r="K21" s="149">
        <f t="shared" si="1"/>
        <v>3</v>
      </c>
      <c r="L21" s="150">
        <f t="shared" si="2"/>
        <v>0</v>
      </c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203</v>
      </c>
      <c r="F22" s="13">
        <v>0.0</v>
      </c>
      <c r="G22" s="31" t="s">
        <v>24</v>
      </c>
      <c r="H22" s="13">
        <v>2.0</v>
      </c>
      <c r="I22" s="17" t="s">
        <v>25</v>
      </c>
      <c r="J22" s="148"/>
      <c r="K22" s="149">
        <f t="shared" si="1"/>
        <v>0</v>
      </c>
      <c r="L22" s="150">
        <f t="shared" si="2"/>
        <v>3</v>
      </c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48"/>
      <c r="K23" s="149">
        <f t="shared" si="1"/>
        <v>1</v>
      </c>
      <c r="L23" s="150">
        <f t="shared" si="2"/>
        <v>2</v>
      </c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35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48"/>
      <c r="K24" s="149">
        <f t="shared" si="1"/>
        <v>0</v>
      </c>
      <c r="L24" s="150">
        <f t="shared" si="2"/>
        <v>3</v>
      </c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35</v>
      </c>
      <c r="D25" s="12" t="s">
        <v>22</v>
      </c>
      <c r="E25" s="17" t="s">
        <v>155</v>
      </c>
      <c r="F25" s="13">
        <v>2.0</v>
      </c>
      <c r="G25" s="31" t="s">
        <v>24</v>
      </c>
      <c r="H25" s="13">
        <v>0.0</v>
      </c>
      <c r="I25" s="17" t="s">
        <v>32</v>
      </c>
      <c r="J25" s="148"/>
      <c r="K25" s="149">
        <f t="shared" si="1"/>
        <v>3</v>
      </c>
      <c r="L25" s="150">
        <f t="shared" si="2"/>
        <v>0</v>
      </c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AA25" s="3"/>
      <c r="AB25" s="147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35</v>
      </c>
      <c r="D26" s="12" t="s">
        <v>22</v>
      </c>
      <c r="E26" s="17" t="s">
        <v>118</v>
      </c>
      <c r="F26" s="13">
        <v>0.0</v>
      </c>
      <c r="G26" s="31" t="s">
        <v>24</v>
      </c>
      <c r="H26" s="13">
        <v>2.0</v>
      </c>
      <c r="I26" s="17" t="s">
        <v>36</v>
      </c>
      <c r="J26" s="148"/>
      <c r="K26" s="149">
        <f t="shared" si="1"/>
        <v>0</v>
      </c>
      <c r="L26" s="150">
        <f t="shared" si="2"/>
        <v>3</v>
      </c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AA26" s="3"/>
      <c r="AB26" s="147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120</v>
      </c>
      <c r="F27" s="13">
        <v>1.0</v>
      </c>
      <c r="G27" s="31" t="s">
        <v>24</v>
      </c>
      <c r="H27" s="13">
        <v>2.0</v>
      </c>
      <c r="I27" s="17" t="s">
        <v>203</v>
      </c>
      <c r="J27" s="148"/>
      <c r="K27" s="149">
        <f t="shared" si="1"/>
        <v>1</v>
      </c>
      <c r="L27" s="150">
        <f t="shared" si="2"/>
        <v>2</v>
      </c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AA27" s="3"/>
      <c r="AB27" s="147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48"/>
      <c r="K28" s="149">
        <f t="shared" si="1"/>
        <v>3</v>
      </c>
      <c r="L28" s="150">
        <f t="shared" si="2"/>
        <v>0</v>
      </c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AA28" s="3"/>
      <c r="AB28" s="147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48"/>
      <c r="K29" s="149">
        <f t="shared" si="1"/>
        <v>3</v>
      </c>
      <c r="L29" s="150">
        <f t="shared" si="2"/>
        <v>0</v>
      </c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AA29" s="3"/>
      <c r="AB29" s="147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35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155</v>
      </c>
      <c r="J30" s="148"/>
      <c r="K30" s="149">
        <f t="shared" si="1"/>
        <v>0</v>
      </c>
      <c r="L30" s="150">
        <f t="shared" si="2"/>
        <v>3</v>
      </c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AA30" s="3"/>
      <c r="AB30" s="147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35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118</v>
      </c>
      <c r="J31" s="148"/>
      <c r="K31" s="149">
        <f t="shared" si="1"/>
        <v>0</v>
      </c>
      <c r="L31" s="150">
        <f t="shared" si="2"/>
        <v>3</v>
      </c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AA31" s="3"/>
      <c r="AB31" s="147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35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36</v>
      </c>
      <c r="J32" s="148"/>
      <c r="K32" s="149">
        <f t="shared" si="1"/>
        <v>1</v>
      </c>
      <c r="L32" s="150">
        <f t="shared" si="2"/>
        <v>2</v>
      </c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AA32" s="3"/>
      <c r="AB32" s="147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203</v>
      </c>
      <c r="F33" s="13">
        <v>0.0</v>
      </c>
      <c r="G33" s="31" t="s">
        <v>24</v>
      </c>
      <c r="H33" s="13">
        <v>2.0</v>
      </c>
      <c r="I33" s="17" t="s">
        <v>61</v>
      </c>
      <c r="J33" s="148"/>
      <c r="K33" s="149">
        <f t="shared" si="1"/>
        <v>0</v>
      </c>
      <c r="L33" s="150">
        <f t="shared" si="2"/>
        <v>3</v>
      </c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AA33" s="3"/>
      <c r="AB33" s="147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120</v>
      </c>
      <c r="J34" s="148"/>
      <c r="K34" s="149">
        <f t="shared" si="1"/>
        <v>1</v>
      </c>
      <c r="L34" s="150">
        <f t="shared" si="2"/>
        <v>2</v>
      </c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AA34" s="3"/>
      <c r="AB34" s="147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48"/>
      <c r="K35" s="149">
        <f t="shared" si="1"/>
        <v>0</v>
      </c>
      <c r="L35" s="150">
        <f t="shared" si="2"/>
        <v>3</v>
      </c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AA35" s="3"/>
      <c r="AB35" s="147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35</v>
      </c>
      <c r="D36" s="12" t="s">
        <v>22</v>
      </c>
      <c r="E36" s="17" t="s">
        <v>155</v>
      </c>
      <c r="F36" s="13">
        <v>1.0</v>
      </c>
      <c r="G36" s="31" t="s">
        <v>24</v>
      </c>
      <c r="H36" s="13">
        <v>2.0</v>
      </c>
      <c r="I36" s="17" t="s">
        <v>23</v>
      </c>
      <c r="J36" s="148"/>
      <c r="K36" s="149">
        <f t="shared" si="1"/>
        <v>1</v>
      </c>
      <c r="L36" s="150">
        <f t="shared" si="2"/>
        <v>2</v>
      </c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AA36" s="3"/>
      <c r="AB36" s="147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35</v>
      </c>
      <c r="D37" s="12" t="s">
        <v>22</v>
      </c>
      <c r="E37" s="17" t="s">
        <v>118</v>
      </c>
      <c r="F37" s="13">
        <v>2.0</v>
      </c>
      <c r="G37" s="31" t="s">
        <v>24</v>
      </c>
      <c r="H37" s="13">
        <v>1.0</v>
      </c>
      <c r="I37" s="17" t="s">
        <v>31</v>
      </c>
      <c r="J37" s="148"/>
      <c r="K37" s="149">
        <f t="shared" si="1"/>
        <v>2</v>
      </c>
      <c r="L37" s="150">
        <f t="shared" si="2"/>
        <v>1</v>
      </c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AA37" s="3"/>
      <c r="AB37" s="147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35</v>
      </c>
      <c r="D38" s="12" t="s">
        <v>22</v>
      </c>
      <c r="E38" s="17" t="s">
        <v>36</v>
      </c>
      <c r="F38" s="13">
        <v>2.0</v>
      </c>
      <c r="G38" s="31" t="s">
        <v>24</v>
      </c>
      <c r="H38" s="13">
        <v>0.0</v>
      </c>
      <c r="I38" s="17" t="s">
        <v>32</v>
      </c>
      <c r="J38" s="148"/>
      <c r="K38" s="149">
        <f t="shared" si="1"/>
        <v>3</v>
      </c>
      <c r="L38" s="150">
        <f t="shared" si="2"/>
        <v>0</v>
      </c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AA38" s="3"/>
      <c r="AB38" s="147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156</v>
      </c>
      <c r="D39" s="12" t="s">
        <v>22</v>
      </c>
      <c r="E39" s="17" t="s">
        <v>203</v>
      </c>
      <c r="F39" s="13">
        <v>0.0</v>
      </c>
      <c r="G39" s="31" t="s">
        <v>24</v>
      </c>
      <c r="H39" s="13">
        <v>2.0</v>
      </c>
      <c r="I39" s="17" t="s">
        <v>43</v>
      </c>
      <c r="J39" s="148"/>
      <c r="K39" s="149">
        <f t="shared" si="1"/>
        <v>0</v>
      </c>
      <c r="L39" s="150">
        <f t="shared" si="2"/>
        <v>3</v>
      </c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AA39" s="3"/>
      <c r="AB39" s="147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156</v>
      </c>
      <c r="D40" s="12" t="s">
        <v>22</v>
      </c>
      <c r="E40" s="17" t="s">
        <v>120</v>
      </c>
      <c r="F40" s="13">
        <v>2.0</v>
      </c>
      <c r="G40" s="31" t="s">
        <v>24</v>
      </c>
      <c r="H40" s="13">
        <v>0.0</v>
      </c>
      <c r="I40" s="17" t="s">
        <v>66</v>
      </c>
      <c r="J40" s="148"/>
      <c r="K40" s="149">
        <f t="shared" si="1"/>
        <v>3</v>
      </c>
      <c r="L40" s="150">
        <f t="shared" si="2"/>
        <v>0</v>
      </c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AA40" s="3"/>
      <c r="AB40" s="147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156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155</v>
      </c>
      <c r="J41" s="148"/>
      <c r="K41" s="149">
        <f t="shared" si="1"/>
        <v>3</v>
      </c>
      <c r="L41" s="150">
        <f t="shared" si="2"/>
        <v>0</v>
      </c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AA41" s="3"/>
      <c r="AB41" s="147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154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118</v>
      </c>
      <c r="J42" s="148"/>
      <c r="K42" s="149">
        <f t="shared" si="1"/>
        <v>3</v>
      </c>
      <c r="L42" s="150">
        <f t="shared" si="2"/>
        <v>0</v>
      </c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AA42" s="3"/>
      <c r="AB42" s="147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154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36</v>
      </c>
      <c r="J43" s="148"/>
      <c r="K43" s="149">
        <f t="shared" si="1"/>
        <v>0</v>
      </c>
      <c r="L43" s="150">
        <f t="shared" si="2"/>
        <v>3</v>
      </c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AA43" s="3"/>
      <c r="AB43" s="147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154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48"/>
      <c r="K44" s="149">
        <f t="shared" si="1"/>
        <v>3</v>
      </c>
      <c r="L44" s="150">
        <f t="shared" si="2"/>
        <v>0</v>
      </c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AA44" s="3"/>
      <c r="AB44" s="147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48"/>
      <c r="K45" s="149">
        <f t="shared" si="1"/>
        <v>1</v>
      </c>
      <c r="L45" s="150">
        <f t="shared" si="2"/>
        <v>2</v>
      </c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AA45" s="3"/>
      <c r="AB45" s="147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203</v>
      </c>
      <c r="J46" s="148"/>
      <c r="K46" s="149">
        <f t="shared" si="1"/>
        <v>0</v>
      </c>
      <c r="L46" s="150">
        <f t="shared" si="2"/>
        <v>3</v>
      </c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AA46" s="3"/>
      <c r="AB46" s="147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6" t="s">
        <v>49</v>
      </c>
      <c r="D47" s="12" t="s">
        <v>22</v>
      </c>
      <c r="E47" s="17" t="s">
        <v>155</v>
      </c>
      <c r="F47" s="13">
        <v>2.0</v>
      </c>
      <c r="G47" s="31" t="s">
        <v>24</v>
      </c>
      <c r="H47" s="13">
        <v>0.0</v>
      </c>
      <c r="I47" s="17" t="s">
        <v>120</v>
      </c>
      <c r="J47" s="148"/>
      <c r="K47" s="149">
        <f t="shared" si="1"/>
        <v>3</v>
      </c>
      <c r="L47" s="150">
        <f t="shared" si="2"/>
        <v>0</v>
      </c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AA47" s="3"/>
      <c r="AB47" s="147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6" t="s">
        <v>35</v>
      </c>
      <c r="D48" s="12" t="s">
        <v>22</v>
      </c>
      <c r="E48" s="44" t="s">
        <v>118</v>
      </c>
      <c r="F48" s="13">
        <v>0.0</v>
      </c>
      <c r="G48" s="31" t="s">
        <v>24</v>
      </c>
      <c r="H48" s="13">
        <v>2.0</v>
      </c>
      <c r="I48" s="44" t="s">
        <v>25</v>
      </c>
      <c r="K48" s="149">
        <f t="shared" si="1"/>
        <v>0</v>
      </c>
      <c r="L48" s="150">
        <f t="shared" si="2"/>
        <v>3</v>
      </c>
      <c r="AA48" s="3"/>
      <c r="AB48" s="147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6" t="s">
        <v>35</v>
      </c>
      <c r="D49" s="12" t="s">
        <v>22</v>
      </c>
      <c r="E49" s="44" t="s">
        <v>36</v>
      </c>
      <c r="F49" s="13">
        <v>0.0</v>
      </c>
      <c r="G49" s="31" t="s">
        <v>24</v>
      </c>
      <c r="H49" s="13">
        <v>2.0</v>
      </c>
      <c r="I49" s="44" t="s">
        <v>23</v>
      </c>
      <c r="K49" s="149">
        <f t="shared" si="1"/>
        <v>0</v>
      </c>
      <c r="L49" s="150">
        <f t="shared" si="2"/>
        <v>3</v>
      </c>
      <c r="AA49" s="3"/>
      <c r="AB49" s="147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6" t="s">
        <v>35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49">
        <f t="shared" si="1"/>
        <v>0</v>
      </c>
      <c r="L50" s="150">
        <f t="shared" si="2"/>
        <v>3</v>
      </c>
      <c r="AA50" s="3"/>
      <c r="AB50" s="147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6" t="s">
        <v>129</v>
      </c>
      <c r="D51" s="12" t="s">
        <v>22</v>
      </c>
      <c r="E51" s="17" t="s">
        <v>43</v>
      </c>
      <c r="F51" s="159">
        <v>2.0</v>
      </c>
      <c r="G51" s="31" t="s">
        <v>24</v>
      </c>
      <c r="H51" s="13">
        <v>0.0</v>
      </c>
      <c r="I51" s="17" t="s">
        <v>66</v>
      </c>
      <c r="K51" s="149">
        <f t="shared" si="1"/>
        <v>3</v>
      </c>
      <c r="L51" s="150">
        <f t="shared" si="2"/>
        <v>0</v>
      </c>
      <c r="AA51" s="3"/>
      <c r="AB51" s="147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6" t="s">
        <v>129</v>
      </c>
      <c r="D52" s="12" t="s">
        <v>22</v>
      </c>
      <c r="E52" s="17" t="s">
        <v>203</v>
      </c>
      <c r="F52" s="159">
        <v>0.0</v>
      </c>
      <c r="G52" s="31" t="s">
        <v>24</v>
      </c>
      <c r="H52" s="13">
        <v>2.0</v>
      </c>
      <c r="I52" s="17" t="s">
        <v>155</v>
      </c>
      <c r="K52" s="149">
        <f t="shared" si="1"/>
        <v>0</v>
      </c>
      <c r="L52" s="150">
        <f t="shared" si="2"/>
        <v>3</v>
      </c>
      <c r="AA52" s="3"/>
      <c r="AB52" s="147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6" t="s">
        <v>30</v>
      </c>
      <c r="D53" s="12" t="s">
        <v>22</v>
      </c>
      <c r="E53" s="17" t="s">
        <v>120</v>
      </c>
      <c r="F53" s="159">
        <v>2.0</v>
      </c>
      <c r="G53" s="31" t="s">
        <v>24</v>
      </c>
      <c r="H53" s="13">
        <v>0.0</v>
      </c>
      <c r="I53" s="17" t="s">
        <v>118</v>
      </c>
      <c r="K53" s="149">
        <f t="shared" si="1"/>
        <v>3</v>
      </c>
      <c r="L53" s="150">
        <f t="shared" si="2"/>
        <v>0</v>
      </c>
      <c r="AA53" s="3"/>
      <c r="AB53" s="147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6" t="s">
        <v>129</v>
      </c>
      <c r="D54" s="12" t="s">
        <v>22</v>
      </c>
      <c r="E54" s="17" t="s">
        <v>25</v>
      </c>
      <c r="F54" s="159">
        <v>2.0</v>
      </c>
      <c r="G54" s="31" t="s">
        <v>24</v>
      </c>
      <c r="H54" s="13">
        <v>0.0</v>
      </c>
      <c r="I54" s="17" t="s">
        <v>36</v>
      </c>
      <c r="K54" s="149">
        <f t="shared" si="1"/>
        <v>3</v>
      </c>
      <c r="L54" s="150">
        <f t="shared" si="2"/>
        <v>0</v>
      </c>
      <c r="AA54" s="3"/>
      <c r="AB54" s="147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6" t="s">
        <v>158</v>
      </c>
      <c r="D55" s="12" t="s">
        <v>22</v>
      </c>
      <c r="E55" s="17" t="s">
        <v>23</v>
      </c>
      <c r="F55" s="159">
        <v>2.0</v>
      </c>
      <c r="G55" s="31" t="s">
        <v>24</v>
      </c>
      <c r="H55" s="13">
        <v>0.0</v>
      </c>
      <c r="I55" s="17" t="s">
        <v>32</v>
      </c>
      <c r="K55" s="149">
        <f t="shared" si="1"/>
        <v>3</v>
      </c>
      <c r="L55" s="150">
        <f t="shared" si="2"/>
        <v>0</v>
      </c>
      <c r="AA55" s="3"/>
      <c r="AB55" s="147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6" t="s">
        <v>158</v>
      </c>
      <c r="D56" s="12" t="s">
        <v>22</v>
      </c>
      <c r="E56" s="17" t="s">
        <v>61</v>
      </c>
      <c r="F56" s="159">
        <v>2.0</v>
      </c>
      <c r="G56" s="31" t="s">
        <v>24</v>
      </c>
      <c r="H56" s="13">
        <v>0.0</v>
      </c>
      <c r="I56" s="17" t="s">
        <v>31</v>
      </c>
      <c r="K56" s="149">
        <f t="shared" si="1"/>
        <v>3</v>
      </c>
      <c r="L56" s="150">
        <f t="shared" si="2"/>
        <v>0</v>
      </c>
      <c r="AA56" s="3"/>
      <c r="AB56" s="147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172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49">
        <f t="shared" si="1"/>
        <v>3</v>
      </c>
      <c r="L57" s="150">
        <f t="shared" si="2"/>
        <v>0</v>
      </c>
      <c r="AA57" s="3"/>
      <c r="AB57" s="147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172</v>
      </c>
      <c r="D58" s="12" t="s">
        <v>22</v>
      </c>
      <c r="E58" s="17" t="s">
        <v>155</v>
      </c>
      <c r="F58" s="13">
        <v>2.0</v>
      </c>
      <c r="G58" s="31" t="s">
        <v>24</v>
      </c>
      <c r="H58" s="13">
        <v>0.0</v>
      </c>
      <c r="I58" s="17" t="s">
        <v>43</v>
      </c>
      <c r="K58" s="149">
        <f t="shared" si="1"/>
        <v>3</v>
      </c>
      <c r="L58" s="150">
        <f t="shared" si="2"/>
        <v>0</v>
      </c>
      <c r="AA58" s="3"/>
      <c r="AB58" s="147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172</v>
      </c>
      <c r="D59" s="12" t="s">
        <v>22</v>
      </c>
      <c r="E59" s="17" t="s">
        <v>118</v>
      </c>
      <c r="F59" s="13">
        <v>2.0</v>
      </c>
      <c r="G59" s="31" t="s">
        <v>24</v>
      </c>
      <c r="H59" s="13">
        <v>1.0</v>
      </c>
      <c r="I59" s="17" t="s">
        <v>203</v>
      </c>
      <c r="K59" s="149">
        <f t="shared" si="1"/>
        <v>2</v>
      </c>
      <c r="L59" s="150">
        <f t="shared" si="2"/>
        <v>1</v>
      </c>
      <c r="AA59" s="3"/>
      <c r="AB59" s="147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162</v>
      </c>
      <c r="D60" s="12" t="s">
        <v>22</v>
      </c>
      <c r="E60" s="17" t="s">
        <v>36</v>
      </c>
      <c r="F60" s="13">
        <v>2.0</v>
      </c>
      <c r="G60" s="31" t="s">
        <v>24</v>
      </c>
      <c r="H60" s="13">
        <v>0.0</v>
      </c>
      <c r="I60" s="17" t="s">
        <v>120</v>
      </c>
      <c r="K60" s="149">
        <f t="shared" si="1"/>
        <v>3</v>
      </c>
      <c r="L60" s="150">
        <f t="shared" si="2"/>
        <v>0</v>
      </c>
      <c r="AA60" s="3"/>
      <c r="AB60" s="147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162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49">
        <f t="shared" si="1"/>
        <v>0</v>
      </c>
      <c r="L61" s="150">
        <f t="shared" si="2"/>
        <v>3</v>
      </c>
      <c r="AA61" s="3"/>
      <c r="AB61" s="147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162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49">
        <f t="shared" si="1"/>
        <v>0</v>
      </c>
      <c r="L62" s="150">
        <f t="shared" si="2"/>
        <v>3</v>
      </c>
      <c r="AA62" s="3"/>
      <c r="AB62" s="147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6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155</v>
      </c>
      <c r="K63" s="149">
        <f t="shared" si="1"/>
        <v>0</v>
      </c>
      <c r="L63" s="150">
        <f t="shared" si="2"/>
        <v>3</v>
      </c>
      <c r="AA63" s="3"/>
      <c r="AB63" s="147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6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118</v>
      </c>
      <c r="K64" s="149">
        <f t="shared" si="1"/>
        <v>3</v>
      </c>
      <c r="L64" s="150">
        <f t="shared" si="2"/>
        <v>0</v>
      </c>
      <c r="AA64" s="3"/>
      <c r="AB64" s="147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6" t="s">
        <v>30</v>
      </c>
      <c r="D65" s="12" t="s">
        <v>22</v>
      </c>
      <c r="E65" s="17" t="s">
        <v>203</v>
      </c>
      <c r="F65" s="13">
        <v>0.0</v>
      </c>
      <c r="G65" s="31" t="s">
        <v>24</v>
      </c>
      <c r="H65" s="13">
        <v>2.0</v>
      </c>
      <c r="I65" s="17" t="s">
        <v>36</v>
      </c>
      <c r="K65" s="149">
        <f t="shared" si="1"/>
        <v>0</v>
      </c>
      <c r="L65" s="150">
        <f t="shared" si="2"/>
        <v>3</v>
      </c>
      <c r="AA65" s="3"/>
      <c r="AB65" s="147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6" t="s">
        <v>35</v>
      </c>
      <c r="D66" s="12" t="s">
        <v>22</v>
      </c>
      <c r="E66" s="14" t="s">
        <v>120</v>
      </c>
      <c r="F66" s="13">
        <v>0.0</v>
      </c>
      <c r="G66" s="31" t="s">
        <v>24</v>
      </c>
      <c r="H66" s="13">
        <v>2.0</v>
      </c>
      <c r="I66" s="17" t="s">
        <v>32</v>
      </c>
      <c r="K66" s="149">
        <f t="shared" si="1"/>
        <v>0</v>
      </c>
      <c r="L66" s="150">
        <f t="shared" si="2"/>
        <v>3</v>
      </c>
      <c r="AA66" s="3"/>
      <c r="AB66" s="147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6" t="s">
        <v>35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49">
        <f t="shared" si="1"/>
        <v>3</v>
      </c>
      <c r="L67" s="150">
        <f t="shared" si="2"/>
        <v>0</v>
      </c>
      <c r="R67" s="148"/>
      <c r="S67" s="148"/>
      <c r="T67" s="148"/>
      <c r="U67" s="148"/>
      <c r="V67" s="148"/>
      <c r="AA67" s="3"/>
      <c r="AB67" s="147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6" t="s">
        <v>35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49">
        <f t="shared" si="1"/>
        <v>3</v>
      </c>
      <c r="L68" s="150">
        <f t="shared" si="2"/>
        <v>0</v>
      </c>
      <c r="R68" s="148"/>
      <c r="S68" s="148"/>
      <c r="T68" s="148"/>
      <c r="U68" s="148"/>
      <c r="V68" s="148"/>
      <c r="AA68" s="3"/>
      <c r="AB68" s="147"/>
      <c r="AC68" s="3"/>
      <c r="AD68" s="3"/>
      <c r="AE68" s="3"/>
      <c r="AF68" s="3"/>
      <c r="AG68" s="3"/>
      <c r="AH68" s="3"/>
      <c r="AI68" s="3"/>
    </row>
    <row r="69" ht="15.75" customHeight="1">
      <c r="A69" s="160"/>
      <c r="B69" s="161"/>
      <c r="C69" s="161"/>
      <c r="D69" s="161"/>
      <c r="E69" s="1"/>
      <c r="F69" s="161"/>
      <c r="G69" s="161"/>
      <c r="I69" s="147"/>
      <c r="AA69" s="3"/>
      <c r="AB69" s="147"/>
      <c r="AC69" s="3"/>
      <c r="AD69" s="3"/>
      <c r="AE69" s="3"/>
      <c r="AF69" s="3"/>
      <c r="AG69" s="3"/>
      <c r="AH69" s="3"/>
      <c r="AI69" s="3"/>
    </row>
    <row r="70" ht="15.75" customHeight="1">
      <c r="A70" s="160"/>
      <c r="B70" s="161"/>
      <c r="C70" s="161"/>
      <c r="D70" s="161"/>
      <c r="E70" s="1"/>
      <c r="F70" s="161"/>
      <c r="G70" s="161"/>
      <c r="I70" s="147"/>
      <c r="AA70" s="3"/>
      <c r="AB70" s="147"/>
      <c r="AC70" s="3"/>
      <c r="AD70" s="3"/>
      <c r="AE70" s="3"/>
      <c r="AF70" s="3"/>
      <c r="AG70" s="3"/>
      <c r="AH70" s="3"/>
      <c r="AI70" s="3"/>
    </row>
    <row r="71" ht="15.75" customHeight="1">
      <c r="A71" s="160"/>
      <c r="B71" s="161"/>
      <c r="C71" s="161"/>
      <c r="D71" s="161"/>
      <c r="E71" s="1"/>
      <c r="F71" s="161"/>
      <c r="G71" s="161"/>
      <c r="I71" s="147"/>
      <c r="AA71" s="3"/>
      <c r="AB71" s="147"/>
      <c r="AC71" s="3"/>
      <c r="AD71" s="3"/>
      <c r="AE71" s="3"/>
      <c r="AF71" s="3"/>
      <c r="AG71" s="3"/>
      <c r="AH71" s="3"/>
      <c r="AI71" s="3"/>
    </row>
    <row r="72" ht="15.75" customHeight="1">
      <c r="A72" s="146" t="s">
        <v>214</v>
      </c>
      <c r="I72" s="147"/>
      <c r="AA72" s="3"/>
      <c r="AB72" s="147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210</v>
      </c>
      <c r="U73" s="9" t="s">
        <v>211</v>
      </c>
      <c r="V73" s="9" t="s">
        <v>212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210</v>
      </c>
      <c r="AH73" s="5" t="s">
        <v>211</v>
      </c>
      <c r="AI73" s="5" t="s">
        <v>212</v>
      </c>
    </row>
    <row r="74" ht="15.75" customHeight="1">
      <c r="A74" s="65">
        <v>1.0</v>
      </c>
      <c r="B74" s="11">
        <v>45944.0</v>
      </c>
      <c r="C74" s="12" t="s">
        <v>172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170</v>
      </c>
      <c r="J74" s="148"/>
      <c r="K74" s="149">
        <f t="shared" ref="K74:K139" si="9">IFS(F74=H74+2,3,F74=H74-2,0,F74=H74+1,2,F74=H74-1,1,F74="","")</f>
        <v>1</v>
      </c>
      <c r="L74" s="150">
        <f t="shared" ref="L74:L139" si="10">IFS(H74=F74+2,3,H74=F74-2,0,H74=F74+1,2,H74=F74-1,1,H74="","")</f>
        <v>2</v>
      </c>
      <c r="M74" s="148"/>
      <c r="N74" s="150">
        <v>1.0</v>
      </c>
      <c r="O74" s="151" t="s">
        <v>40</v>
      </c>
      <c r="P74" s="150">
        <f t="shared" ref="P74:P84" si="11">SUMIF(E$74:E$139,O74,K$74:K$139)+SUMIF(I$74:I$139,O74,L$74:L$139)</f>
        <v>7</v>
      </c>
      <c r="Q74" s="152">
        <f t="shared" ref="Q74:Q84" si="12">COUNTIFS(E$74:E$139,O74,K$74:K$139,2)+COUNTIFS(I$74:I$139,O74,L$74:L$139,2)+COUNTIFS(E$74:E$139,O74,K$74:K$139,3)+COUNTIFS(I$74:I$139,O74,L$74:L$139,3)</f>
        <v>1</v>
      </c>
      <c r="R74" s="153"/>
      <c r="S74" s="153">
        <f t="shared" ref="S74:S84" si="13">COUNTIFS(E$74:E$139,O74,K$74:K$139,1)+COUNTIFS(I$74:I$139,O74,L$74:L$139,1)+COUNTIFS(E$74:E$139,O74,K$74:K$139,0)+COUNTIFS(I$74:I$139,O74,L$74:L$139,0)</f>
        <v>9</v>
      </c>
      <c r="T74" s="150">
        <f t="shared" ref="T74:T84" si="14">SUMIF(E$74:E$139,O74,F$74:F$139)+SUMIF(I$74:I$139,O74,H$74:H$139)</f>
        <v>6</v>
      </c>
      <c r="U74" s="153">
        <f t="shared" ref="U74:U84" si="15">SUMIF(E$74:E$139,O74,H$74:H$139)+SUMIF(I$74:I$139,O74,F$74:F$139)</f>
        <v>18</v>
      </c>
      <c r="V74" s="150">
        <f t="shared" ref="V74:V84" si="16">T74-U74</f>
        <v>-12</v>
      </c>
      <c r="X74" s="136" t="s">
        <v>26</v>
      </c>
      <c r="Y74" s="136" t="s">
        <v>13</v>
      </c>
      <c r="AA74" s="45" t="s">
        <v>29</v>
      </c>
      <c r="AB74" s="70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156</v>
      </c>
      <c r="D75" s="12" t="s">
        <v>22</v>
      </c>
      <c r="E75" s="17" t="s">
        <v>183</v>
      </c>
      <c r="F75" s="13">
        <v>2.0</v>
      </c>
      <c r="G75" s="31" t="s">
        <v>24</v>
      </c>
      <c r="H75" s="13">
        <v>0.0</v>
      </c>
      <c r="I75" s="17" t="s">
        <v>64</v>
      </c>
      <c r="J75" s="148"/>
      <c r="K75" s="149">
        <f t="shared" si="9"/>
        <v>3</v>
      </c>
      <c r="L75" s="150">
        <f t="shared" si="10"/>
        <v>0</v>
      </c>
      <c r="M75" s="148"/>
      <c r="N75" s="150">
        <v>2.0</v>
      </c>
      <c r="O75" s="151" t="s">
        <v>41</v>
      </c>
      <c r="P75" s="150">
        <f t="shared" si="11"/>
        <v>10</v>
      </c>
      <c r="Q75" s="152">
        <f t="shared" si="12"/>
        <v>3</v>
      </c>
      <c r="R75" s="153"/>
      <c r="S75" s="153">
        <f t="shared" si="13"/>
        <v>7</v>
      </c>
      <c r="T75" s="150">
        <f t="shared" si="14"/>
        <v>8</v>
      </c>
      <c r="U75" s="153">
        <f t="shared" si="15"/>
        <v>15</v>
      </c>
      <c r="V75" s="150">
        <f t="shared" si="16"/>
        <v>-7</v>
      </c>
      <c r="X75" s="137" t="s">
        <v>33</v>
      </c>
      <c r="Y75" s="137">
        <v>3.0</v>
      </c>
      <c r="AA75" s="125" t="s">
        <v>119</v>
      </c>
      <c r="AB75" s="70" t="s">
        <v>68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172</v>
      </c>
      <c r="D76" s="12" t="s">
        <v>22</v>
      </c>
      <c r="E76" s="17" t="s">
        <v>215</v>
      </c>
      <c r="F76" s="13">
        <v>2.0</v>
      </c>
      <c r="G76" s="31" t="s">
        <v>24</v>
      </c>
      <c r="H76" s="13">
        <v>0.0</v>
      </c>
      <c r="I76" s="17" t="s">
        <v>145</v>
      </c>
      <c r="J76" s="148"/>
      <c r="K76" s="149">
        <f t="shared" si="9"/>
        <v>3</v>
      </c>
      <c r="L76" s="150">
        <f t="shared" si="10"/>
        <v>0</v>
      </c>
      <c r="M76" s="148"/>
      <c r="N76" s="150">
        <v>3.0</v>
      </c>
      <c r="O76" s="151" t="s">
        <v>170</v>
      </c>
      <c r="P76" s="150">
        <f t="shared" si="11"/>
        <v>18</v>
      </c>
      <c r="Q76" s="152">
        <f t="shared" si="12"/>
        <v>6</v>
      </c>
      <c r="R76" s="153"/>
      <c r="S76" s="153">
        <f t="shared" si="13"/>
        <v>4</v>
      </c>
      <c r="T76" s="150">
        <f t="shared" si="14"/>
        <v>14</v>
      </c>
      <c r="U76" s="153">
        <f t="shared" si="15"/>
        <v>10</v>
      </c>
      <c r="V76" s="150">
        <f t="shared" si="16"/>
        <v>4</v>
      </c>
      <c r="X76" s="137" t="s">
        <v>41</v>
      </c>
      <c r="Y76" s="137">
        <v>0.0</v>
      </c>
      <c r="AA76" s="22">
        <v>3.0</v>
      </c>
      <c r="AB76" s="70" t="s">
        <v>170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162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115</v>
      </c>
      <c r="J77" s="148"/>
      <c r="K77" s="149">
        <f t="shared" si="9"/>
        <v>2</v>
      </c>
      <c r="L77" s="150">
        <f t="shared" si="10"/>
        <v>1</v>
      </c>
      <c r="M77" s="148"/>
      <c r="N77" s="150">
        <v>4.0</v>
      </c>
      <c r="O77" s="151" t="s">
        <v>121</v>
      </c>
      <c r="P77" s="150">
        <f t="shared" si="11"/>
        <v>16</v>
      </c>
      <c r="Q77" s="152">
        <f t="shared" si="12"/>
        <v>6</v>
      </c>
      <c r="R77" s="153"/>
      <c r="S77" s="153">
        <f t="shared" si="13"/>
        <v>4</v>
      </c>
      <c r="T77" s="150">
        <f t="shared" si="14"/>
        <v>13</v>
      </c>
      <c r="U77" s="153">
        <f t="shared" si="15"/>
        <v>11</v>
      </c>
      <c r="V77" s="150">
        <f t="shared" si="16"/>
        <v>2</v>
      </c>
      <c r="AA77" s="22">
        <v>4.0</v>
      </c>
      <c r="AB77" s="70" t="s">
        <v>215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162</v>
      </c>
      <c r="D78" s="12" t="s">
        <v>22</v>
      </c>
      <c r="E78" s="17" t="s">
        <v>121</v>
      </c>
      <c r="F78" s="13">
        <v>0.0</v>
      </c>
      <c r="G78" s="31" t="s">
        <v>24</v>
      </c>
      <c r="H78" s="13">
        <v>2.0</v>
      </c>
      <c r="I78" s="17" t="s">
        <v>68</v>
      </c>
      <c r="J78" s="148"/>
      <c r="K78" s="149">
        <f t="shared" si="9"/>
        <v>0</v>
      </c>
      <c r="L78" s="150">
        <f t="shared" si="10"/>
        <v>3</v>
      </c>
      <c r="M78" s="148"/>
      <c r="N78" s="150">
        <v>5.0</v>
      </c>
      <c r="O78" s="151" t="s">
        <v>64</v>
      </c>
      <c r="P78" s="150">
        <f t="shared" si="11"/>
        <v>16</v>
      </c>
      <c r="Q78" s="152">
        <f t="shared" si="12"/>
        <v>5</v>
      </c>
      <c r="R78" s="153"/>
      <c r="S78" s="153">
        <f t="shared" si="13"/>
        <v>5</v>
      </c>
      <c r="T78" s="150">
        <f t="shared" si="14"/>
        <v>12</v>
      </c>
      <c r="U78" s="153">
        <f t="shared" si="15"/>
        <v>11</v>
      </c>
      <c r="V78" s="150">
        <f t="shared" si="16"/>
        <v>1</v>
      </c>
      <c r="AA78" s="22">
        <v>5.0</v>
      </c>
      <c r="AB78" s="70" t="s">
        <v>121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2"/>
      <c r="C79" s="163"/>
      <c r="D79" s="164"/>
      <c r="E79" s="17">
        <v>0.0</v>
      </c>
      <c r="F79" s="31"/>
      <c r="G79" s="31" t="s">
        <v>24</v>
      </c>
      <c r="H79" s="31"/>
      <c r="I79" s="17" t="s">
        <v>41</v>
      </c>
      <c r="J79" s="148"/>
      <c r="K79" s="149" t="str">
        <f t="shared" si="9"/>
        <v/>
      </c>
      <c r="L79" s="150" t="str">
        <f t="shared" si="10"/>
        <v/>
      </c>
      <c r="M79" s="148"/>
      <c r="N79" s="150">
        <v>6.0</v>
      </c>
      <c r="O79" s="151" t="s">
        <v>69</v>
      </c>
      <c r="P79" s="150">
        <f t="shared" si="11"/>
        <v>3</v>
      </c>
      <c r="Q79" s="152">
        <f t="shared" si="12"/>
        <v>1</v>
      </c>
      <c r="R79" s="153"/>
      <c r="S79" s="153">
        <f t="shared" si="13"/>
        <v>9</v>
      </c>
      <c r="T79" s="150">
        <f t="shared" si="14"/>
        <v>3</v>
      </c>
      <c r="U79" s="153">
        <f t="shared" si="15"/>
        <v>19</v>
      </c>
      <c r="V79" s="150">
        <f t="shared" si="16"/>
        <v>-16</v>
      </c>
      <c r="AA79" s="22">
        <v>6.0</v>
      </c>
      <c r="AB79" s="70" t="s">
        <v>64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5">
        <v>2.0</v>
      </c>
      <c r="B80" s="162"/>
      <c r="C80" s="163"/>
      <c r="D80" s="164"/>
      <c r="E80" s="17" t="s">
        <v>170</v>
      </c>
      <c r="F80" s="31"/>
      <c r="G80" s="31" t="s">
        <v>24</v>
      </c>
      <c r="H80" s="31"/>
      <c r="I80" s="17">
        <v>0.0</v>
      </c>
      <c r="J80" s="148"/>
      <c r="K80" s="149" t="str">
        <f t="shared" si="9"/>
        <v/>
      </c>
      <c r="L80" s="150" t="str">
        <f t="shared" si="10"/>
        <v/>
      </c>
      <c r="M80" s="148"/>
      <c r="N80" s="150">
        <v>7.0</v>
      </c>
      <c r="O80" s="151" t="s">
        <v>145</v>
      </c>
      <c r="P80" s="150">
        <f t="shared" si="11"/>
        <v>10</v>
      </c>
      <c r="Q80" s="152">
        <f t="shared" si="12"/>
        <v>4</v>
      </c>
      <c r="R80" s="153"/>
      <c r="S80" s="153">
        <f t="shared" si="13"/>
        <v>6</v>
      </c>
      <c r="T80" s="150">
        <f t="shared" si="14"/>
        <v>9</v>
      </c>
      <c r="U80" s="153">
        <f t="shared" si="15"/>
        <v>15</v>
      </c>
      <c r="V80" s="150">
        <f t="shared" si="16"/>
        <v>-6</v>
      </c>
      <c r="AA80" s="22">
        <v>7.0</v>
      </c>
      <c r="AB80" s="70" t="s">
        <v>115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162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48"/>
      <c r="K81" s="149">
        <f t="shared" si="9"/>
        <v>3</v>
      </c>
      <c r="L81" s="150">
        <f t="shared" si="10"/>
        <v>0</v>
      </c>
      <c r="M81" s="148"/>
      <c r="N81" s="150">
        <v>8.0</v>
      </c>
      <c r="O81" s="151" t="s">
        <v>215</v>
      </c>
      <c r="P81" s="150">
        <f t="shared" si="11"/>
        <v>17</v>
      </c>
      <c r="Q81" s="152">
        <f t="shared" si="12"/>
        <v>5</v>
      </c>
      <c r="R81" s="153"/>
      <c r="S81" s="153">
        <f t="shared" si="13"/>
        <v>5</v>
      </c>
      <c r="T81" s="150">
        <f t="shared" si="14"/>
        <v>13</v>
      </c>
      <c r="U81" s="153">
        <f t="shared" si="15"/>
        <v>11</v>
      </c>
      <c r="V81" s="150">
        <f t="shared" si="16"/>
        <v>2</v>
      </c>
      <c r="AA81" s="22">
        <v>8.0</v>
      </c>
      <c r="AB81" s="70" t="s">
        <v>145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145</v>
      </c>
      <c r="F82" s="13">
        <v>0.0</v>
      </c>
      <c r="G82" s="31" t="s">
        <v>24</v>
      </c>
      <c r="H82" s="13">
        <v>2.0</v>
      </c>
      <c r="I82" s="17" t="s">
        <v>183</v>
      </c>
      <c r="J82" s="148"/>
      <c r="K82" s="149">
        <f t="shared" si="9"/>
        <v>0</v>
      </c>
      <c r="L82" s="150">
        <f t="shared" si="10"/>
        <v>3</v>
      </c>
      <c r="M82" s="148"/>
      <c r="N82" s="150">
        <v>9.0</v>
      </c>
      <c r="O82" s="151" t="s">
        <v>115</v>
      </c>
      <c r="P82" s="150">
        <f t="shared" si="11"/>
        <v>14</v>
      </c>
      <c r="Q82" s="152">
        <f t="shared" si="12"/>
        <v>5</v>
      </c>
      <c r="R82" s="153"/>
      <c r="S82" s="153">
        <f t="shared" si="13"/>
        <v>5</v>
      </c>
      <c r="T82" s="150">
        <f t="shared" si="14"/>
        <v>12</v>
      </c>
      <c r="U82" s="153">
        <f t="shared" si="15"/>
        <v>13</v>
      </c>
      <c r="V82" s="150">
        <f t="shared" si="16"/>
        <v>-1</v>
      </c>
      <c r="AA82" s="22">
        <v>9.0</v>
      </c>
      <c r="AB82" s="70" t="s">
        <v>41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115</v>
      </c>
      <c r="F83" s="13">
        <v>2.0</v>
      </c>
      <c r="G83" s="31" t="s">
        <v>24</v>
      </c>
      <c r="H83" s="13">
        <v>1.0</v>
      </c>
      <c r="I83" s="17" t="s">
        <v>215</v>
      </c>
      <c r="J83" s="148"/>
      <c r="K83" s="149">
        <f t="shared" si="9"/>
        <v>2</v>
      </c>
      <c r="L83" s="150">
        <f t="shared" si="10"/>
        <v>1</v>
      </c>
      <c r="M83" s="148"/>
      <c r="N83" s="150">
        <v>10.0</v>
      </c>
      <c r="O83" s="151" t="s">
        <v>183</v>
      </c>
      <c r="P83" s="150">
        <f t="shared" si="11"/>
        <v>28</v>
      </c>
      <c r="Q83" s="152">
        <f t="shared" si="12"/>
        <v>10</v>
      </c>
      <c r="R83" s="153"/>
      <c r="S83" s="153">
        <f t="shared" si="13"/>
        <v>0</v>
      </c>
      <c r="T83" s="150">
        <f t="shared" si="14"/>
        <v>20</v>
      </c>
      <c r="U83" s="153">
        <f t="shared" si="15"/>
        <v>2</v>
      </c>
      <c r="V83" s="150">
        <f t="shared" si="16"/>
        <v>18</v>
      </c>
      <c r="AA83" s="22">
        <v>10.0</v>
      </c>
      <c r="AB83" s="70" t="s">
        <v>40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48"/>
      <c r="K84" s="149">
        <f t="shared" si="9"/>
        <v>3</v>
      </c>
      <c r="L84" s="150">
        <f t="shared" si="10"/>
        <v>0</v>
      </c>
      <c r="M84" s="148"/>
      <c r="N84" s="165">
        <v>11.0</v>
      </c>
      <c r="O84" s="165" t="s">
        <v>68</v>
      </c>
      <c r="P84" s="150">
        <f t="shared" si="11"/>
        <v>26</v>
      </c>
      <c r="Q84" s="152">
        <f t="shared" si="12"/>
        <v>9</v>
      </c>
      <c r="S84" s="153">
        <f t="shared" si="13"/>
        <v>1</v>
      </c>
      <c r="T84" s="150">
        <f t="shared" si="14"/>
        <v>19</v>
      </c>
      <c r="U84" s="153">
        <f t="shared" si="15"/>
        <v>4</v>
      </c>
      <c r="V84" s="150">
        <f t="shared" si="16"/>
        <v>15</v>
      </c>
      <c r="AA84" s="52">
        <v>11.0</v>
      </c>
      <c r="AB84" s="70" t="s">
        <v>69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121</v>
      </c>
      <c r="J85" s="148"/>
      <c r="K85" s="149">
        <f t="shared" si="9"/>
        <v>0</v>
      </c>
      <c r="L85" s="150">
        <f t="shared" si="10"/>
        <v>3</v>
      </c>
      <c r="M85" s="148"/>
      <c r="AA85" s="35" t="s">
        <v>216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170</v>
      </c>
      <c r="F86" s="13">
        <v>2.0</v>
      </c>
      <c r="G86" s="31" t="s">
        <v>24</v>
      </c>
      <c r="H86" s="13">
        <v>0.0</v>
      </c>
      <c r="I86" s="17" t="s">
        <v>64</v>
      </c>
      <c r="J86" s="148"/>
      <c r="K86" s="149">
        <f t="shared" si="9"/>
        <v>3</v>
      </c>
      <c r="L86" s="150">
        <f t="shared" si="10"/>
        <v>0</v>
      </c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AA86" s="79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145</v>
      </c>
      <c r="J87" s="148"/>
      <c r="K87" s="149">
        <f t="shared" si="9"/>
        <v>1</v>
      </c>
      <c r="L87" s="150">
        <f t="shared" si="10"/>
        <v>2</v>
      </c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AA87" s="157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183</v>
      </c>
      <c r="F88" s="13">
        <v>2.0</v>
      </c>
      <c r="G88" s="31" t="s">
        <v>24</v>
      </c>
      <c r="H88" s="13">
        <v>0.0</v>
      </c>
      <c r="I88" s="17" t="s">
        <v>115</v>
      </c>
      <c r="J88" s="148"/>
      <c r="K88" s="149">
        <f t="shared" si="9"/>
        <v>3</v>
      </c>
      <c r="L88" s="150">
        <f t="shared" si="10"/>
        <v>0</v>
      </c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AG88" s="3"/>
      <c r="AH88" s="3"/>
      <c r="AI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215</v>
      </c>
      <c r="F89" s="13">
        <v>0.0</v>
      </c>
      <c r="G89" s="31" t="s">
        <v>24</v>
      </c>
      <c r="H89" s="13">
        <v>2.0</v>
      </c>
      <c r="I89" s="17" t="s">
        <v>68</v>
      </c>
      <c r="J89" s="158"/>
      <c r="K89" s="149">
        <f t="shared" si="9"/>
        <v>0</v>
      </c>
      <c r="L89" s="150">
        <f t="shared" si="10"/>
        <v>3</v>
      </c>
      <c r="M89" s="148"/>
      <c r="N89" s="148"/>
      <c r="O89" s="148"/>
      <c r="P89" s="148"/>
      <c r="R89" s="148"/>
      <c r="S89" s="148"/>
      <c r="T89" s="148"/>
      <c r="U89" s="148"/>
      <c r="V89" s="148"/>
      <c r="AG89" s="3"/>
      <c r="AH89" s="3"/>
      <c r="AI89" s="3"/>
    </row>
    <row r="90" ht="15.75" customHeight="1">
      <c r="A90" s="25"/>
      <c r="B90" s="11">
        <v>45967.0</v>
      </c>
      <c r="C90" s="12" t="s">
        <v>35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48"/>
      <c r="K90" s="149">
        <f t="shared" si="9"/>
        <v>0</v>
      </c>
      <c r="L90" s="150">
        <f t="shared" si="10"/>
        <v>3</v>
      </c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AG90" s="3"/>
      <c r="AH90" s="3"/>
      <c r="AI90" s="3"/>
    </row>
    <row r="91" ht="15.75" customHeight="1">
      <c r="A91" s="29"/>
      <c r="B91" s="162"/>
      <c r="C91" s="164"/>
      <c r="D91" s="164"/>
      <c r="E91" s="17">
        <v>0.0</v>
      </c>
      <c r="F91" s="31"/>
      <c r="G91" s="31" t="s">
        <v>24</v>
      </c>
      <c r="H91" s="31"/>
      <c r="I91" s="17" t="s">
        <v>121</v>
      </c>
      <c r="J91" s="148"/>
      <c r="K91" s="149" t="str">
        <f t="shared" si="9"/>
        <v/>
      </c>
      <c r="L91" s="150" t="str">
        <f t="shared" si="10"/>
        <v/>
      </c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48"/>
      <c r="K92" s="149" t="str">
        <f t="shared" si="9"/>
        <v/>
      </c>
      <c r="L92" s="150" t="str">
        <f t="shared" si="10"/>
        <v/>
      </c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145</v>
      </c>
      <c r="F93" s="13">
        <v>2.0</v>
      </c>
      <c r="G93" s="31" t="s">
        <v>24</v>
      </c>
      <c r="H93" s="13">
        <v>1.0</v>
      </c>
      <c r="I93" s="17" t="s">
        <v>170</v>
      </c>
      <c r="J93" s="148"/>
      <c r="K93" s="149">
        <f t="shared" si="9"/>
        <v>2</v>
      </c>
      <c r="L93" s="150">
        <f t="shared" si="10"/>
        <v>1</v>
      </c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115</v>
      </c>
      <c r="F94" s="13">
        <v>2.0</v>
      </c>
      <c r="G94" s="31" t="s">
        <v>24</v>
      </c>
      <c r="H94" s="13">
        <v>0.0</v>
      </c>
      <c r="I94" s="17" t="s">
        <v>40</v>
      </c>
      <c r="J94" s="148"/>
      <c r="K94" s="149">
        <f t="shared" si="9"/>
        <v>3</v>
      </c>
      <c r="L94" s="150">
        <f t="shared" si="10"/>
        <v>0</v>
      </c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183</v>
      </c>
      <c r="J95" s="148"/>
      <c r="K95" s="149">
        <f t="shared" si="9"/>
        <v>1</v>
      </c>
      <c r="L95" s="150">
        <f t="shared" si="10"/>
        <v>2</v>
      </c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AA95" s="3"/>
      <c r="AB95" s="147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215</v>
      </c>
      <c r="J96" s="148"/>
      <c r="K96" s="149">
        <f t="shared" si="9"/>
        <v>0</v>
      </c>
      <c r="L96" s="150">
        <f t="shared" si="10"/>
        <v>3</v>
      </c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AA96" s="3"/>
      <c r="AB96" s="147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121</v>
      </c>
      <c r="F97" s="13">
        <v>2.0</v>
      </c>
      <c r="G97" s="31" t="s">
        <v>24</v>
      </c>
      <c r="H97" s="13">
        <v>1.0</v>
      </c>
      <c r="I97" s="17" t="s">
        <v>69</v>
      </c>
      <c r="J97" s="148"/>
      <c r="K97" s="149">
        <f t="shared" si="9"/>
        <v>2</v>
      </c>
      <c r="L97" s="150">
        <f t="shared" si="10"/>
        <v>1</v>
      </c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AA97" s="3"/>
      <c r="AB97" s="147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157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145</v>
      </c>
      <c r="J98" s="148"/>
      <c r="K98" s="149">
        <f t="shared" si="9"/>
        <v>3</v>
      </c>
      <c r="L98" s="150">
        <f t="shared" si="10"/>
        <v>0</v>
      </c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AA98" s="3"/>
      <c r="AB98" s="147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217</v>
      </c>
      <c r="D99" s="12" t="s">
        <v>22</v>
      </c>
      <c r="E99" s="17" t="s">
        <v>170</v>
      </c>
      <c r="F99" s="159">
        <v>2.0</v>
      </c>
      <c r="G99" s="31" t="s">
        <v>24</v>
      </c>
      <c r="H99" s="13">
        <v>0.0</v>
      </c>
      <c r="I99" s="17" t="s">
        <v>115</v>
      </c>
      <c r="J99" s="148"/>
      <c r="K99" s="149">
        <f t="shared" si="9"/>
        <v>3</v>
      </c>
      <c r="L99" s="150">
        <f t="shared" si="10"/>
        <v>0</v>
      </c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AA99" s="3"/>
      <c r="AB99" s="147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160</v>
      </c>
      <c r="D100" s="12" t="s">
        <v>22</v>
      </c>
      <c r="E100" s="17" t="s">
        <v>40</v>
      </c>
      <c r="F100" s="159">
        <v>1.0</v>
      </c>
      <c r="G100" s="31" t="s">
        <v>24</v>
      </c>
      <c r="H100" s="13">
        <v>2.0</v>
      </c>
      <c r="I100" s="17" t="s">
        <v>68</v>
      </c>
      <c r="J100" s="148"/>
      <c r="K100" s="149">
        <f t="shared" si="9"/>
        <v>1</v>
      </c>
      <c r="L100" s="150">
        <f t="shared" si="10"/>
        <v>2</v>
      </c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AA100" s="3"/>
      <c r="AB100" s="147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160</v>
      </c>
      <c r="D101" s="12" t="s">
        <v>22</v>
      </c>
      <c r="E101" s="17" t="s">
        <v>183</v>
      </c>
      <c r="F101" s="159">
        <v>2.0</v>
      </c>
      <c r="G101" s="31" t="s">
        <v>24</v>
      </c>
      <c r="H101" s="13">
        <v>0.0</v>
      </c>
      <c r="I101" s="17" t="s">
        <v>41</v>
      </c>
      <c r="J101" s="148"/>
      <c r="K101" s="149">
        <f t="shared" si="9"/>
        <v>3</v>
      </c>
      <c r="L101" s="150">
        <f t="shared" si="10"/>
        <v>0</v>
      </c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AA101" s="3"/>
      <c r="AB101" s="147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160</v>
      </c>
      <c r="D102" s="12" t="s">
        <v>22</v>
      </c>
      <c r="E102" s="17" t="s">
        <v>215</v>
      </c>
      <c r="F102" s="159">
        <v>1.0</v>
      </c>
      <c r="G102" s="31" t="s">
        <v>24</v>
      </c>
      <c r="H102" s="13">
        <v>2.0</v>
      </c>
      <c r="I102" s="17" t="s">
        <v>121</v>
      </c>
      <c r="J102" s="148"/>
      <c r="K102" s="149">
        <f t="shared" si="9"/>
        <v>1</v>
      </c>
      <c r="L102" s="150">
        <f t="shared" si="10"/>
        <v>2</v>
      </c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AA102" s="3"/>
      <c r="AB102" s="147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2"/>
      <c r="C103" s="164"/>
      <c r="D103" s="164"/>
      <c r="E103" s="17">
        <v>0.0</v>
      </c>
      <c r="F103" s="164"/>
      <c r="G103" s="31" t="s">
        <v>24</v>
      </c>
      <c r="H103" s="31"/>
      <c r="I103" s="17" t="s">
        <v>69</v>
      </c>
      <c r="J103" s="148"/>
      <c r="K103" s="149" t="str">
        <f t="shared" si="9"/>
        <v/>
      </c>
      <c r="L103" s="150" t="str">
        <f t="shared" si="10"/>
        <v/>
      </c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AA103" s="3"/>
      <c r="AB103" s="147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62"/>
      <c r="C104" s="163"/>
      <c r="D104" s="164"/>
      <c r="E104" s="17" t="s">
        <v>145</v>
      </c>
      <c r="F104" s="31"/>
      <c r="G104" s="31" t="s">
        <v>24</v>
      </c>
      <c r="H104" s="31"/>
      <c r="I104" s="17">
        <v>0.0</v>
      </c>
      <c r="J104" s="148"/>
      <c r="K104" s="149" t="str">
        <f t="shared" si="9"/>
        <v/>
      </c>
      <c r="L104" s="150" t="str">
        <f t="shared" si="10"/>
        <v/>
      </c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AA104" s="3"/>
      <c r="AB104" s="147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157</v>
      </c>
      <c r="D105" s="12" t="s">
        <v>22</v>
      </c>
      <c r="E105" s="17" t="s">
        <v>115</v>
      </c>
      <c r="F105" s="13">
        <v>1.0</v>
      </c>
      <c r="G105" s="31" t="s">
        <v>24</v>
      </c>
      <c r="H105" s="13">
        <v>2.0</v>
      </c>
      <c r="I105" s="17" t="s">
        <v>64</v>
      </c>
      <c r="J105" s="148"/>
      <c r="K105" s="149">
        <f t="shared" si="9"/>
        <v>1</v>
      </c>
      <c r="L105" s="150">
        <f t="shared" si="10"/>
        <v>2</v>
      </c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AA105" s="3"/>
      <c r="AB105" s="147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157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170</v>
      </c>
      <c r="J106" s="148"/>
      <c r="K106" s="149">
        <f t="shared" si="9"/>
        <v>2</v>
      </c>
      <c r="L106" s="150">
        <f t="shared" si="10"/>
        <v>1</v>
      </c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AA106" s="3"/>
      <c r="AB106" s="147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157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48"/>
      <c r="K107" s="149">
        <f t="shared" si="9"/>
        <v>2</v>
      </c>
      <c r="L107" s="150">
        <f t="shared" si="10"/>
        <v>1</v>
      </c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AA107" s="3"/>
      <c r="AB107" s="147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160</v>
      </c>
      <c r="D108" s="12" t="s">
        <v>22</v>
      </c>
      <c r="E108" s="17" t="s">
        <v>121</v>
      </c>
      <c r="F108" s="13">
        <v>1.0</v>
      </c>
      <c r="G108" s="31" t="s">
        <v>24</v>
      </c>
      <c r="H108" s="13">
        <v>2.0</v>
      </c>
      <c r="I108" s="17" t="s">
        <v>183</v>
      </c>
      <c r="J108" s="148"/>
      <c r="K108" s="149">
        <f t="shared" si="9"/>
        <v>1</v>
      </c>
      <c r="L108" s="150">
        <f t="shared" si="10"/>
        <v>2</v>
      </c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AA108" s="3"/>
      <c r="AB108" s="147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160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215</v>
      </c>
      <c r="J109" s="148"/>
      <c r="K109" s="149">
        <f t="shared" si="9"/>
        <v>0</v>
      </c>
      <c r="L109" s="150">
        <f t="shared" si="10"/>
        <v>3</v>
      </c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AA109" s="3"/>
      <c r="AB109" s="147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160</v>
      </c>
      <c r="D110" s="12" t="s">
        <v>22</v>
      </c>
      <c r="E110" s="17" t="s">
        <v>145</v>
      </c>
      <c r="F110" s="13">
        <v>1.0</v>
      </c>
      <c r="G110" s="31" t="s">
        <v>24</v>
      </c>
      <c r="H110" s="13">
        <v>2.0</v>
      </c>
      <c r="I110" s="17" t="s">
        <v>115</v>
      </c>
      <c r="J110" s="148"/>
      <c r="K110" s="149">
        <f t="shared" si="9"/>
        <v>1</v>
      </c>
      <c r="L110" s="150">
        <f t="shared" si="10"/>
        <v>2</v>
      </c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AA110" s="3"/>
      <c r="AB110" s="147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129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48"/>
      <c r="K111" s="149">
        <f t="shared" si="9"/>
        <v>0</v>
      </c>
      <c r="L111" s="150">
        <f t="shared" si="10"/>
        <v>3</v>
      </c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AA111" s="3"/>
      <c r="AB111" s="147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129</v>
      </c>
      <c r="D112" s="39" t="s">
        <v>22</v>
      </c>
      <c r="E112" s="17" t="s">
        <v>170</v>
      </c>
      <c r="F112" s="13">
        <v>0.0</v>
      </c>
      <c r="G112" s="31" t="s">
        <v>24</v>
      </c>
      <c r="H112" s="13">
        <v>2.0</v>
      </c>
      <c r="I112" s="17" t="s">
        <v>41</v>
      </c>
      <c r="J112" s="148"/>
      <c r="K112" s="149">
        <f t="shared" si="9"/>
        <v>0</v>
      </c>
      <c r="L112" s="150">
        <f t="shared" si="10"/>
        <v>3</v>
      </c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AA112" s="3"/>
      <c r="AB112" s="147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129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121</v>
      </c>
      <c r="J113" s="148"/>
      <c r="K113" s="149">
        <f t="shared" si="9"/>
        <v>0</v>
      </c>
      <c r="L113" s="150">
        <f t="shared" si="10"/>
        <v>3</v>
      </c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AA113" s="3"/>
      <c r="AB113" s="147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6" t="s">
        <v>49</v>
      </c>
      <c r="D114" s="12" t="s">
        <v>22</v>
      </c>
      <c r="E114" s="17" t="s">
        <v>183</v>
      </c>
      <c r="F114" s="13">
        <v>2.0</v>
      </c>
      <c r="G114" s="31" t="s">
        <v>24</v>
      </c>
      <c r="H114" s="13">
        <v>0.0</v>
      </c>
      <c r="I114" s="17" t="s">
        <v>69</v>
      </c>
      <c r="J114" s="148"/>
      <c r="K114" s="149">
        <f t="shared" si="9"/>
        <v>3</v>
      </c>
      <c r="L114" s="150">
        <f t="shared" si="10"/>
        <v>0</v>
      </c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AA114" s="3"/>
      <c r="AB114" s="147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2"/>
      <c r="C115" s="164"/>
      <c r="D115" s="164"/>
      <c r="E115" s="17">
        <v>0.0</v>
      </c>
      <c r="F115" s="31"/>
      <c r="G115" s="31" t="s">
        <v>24</v>
      </c>
      <c r="H115" s="31"/>
      <c r="I115" s="17" t="s">
        <v>215</v>
      </c>
      <c r="J115" s="148"/>
      <c r="K115" s="149" t="str">
        <f t="shared" si="9"/>
        <v/>
      </c>
      <c r="L115" s="150" t="str">
        <f t="shared" si="10"/>
        <v/>
      </c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AA115" s="3"/>
      <c r="AB115" s="147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62"/>
      <c r="C116" s="163"/>
      <c r="D116" s="164"/>
      <c r="E116" s="17" t="s">
        <v>115</v>
      </c>
      <c r="F116" s="31"/>
      <c r="G116" s="31" t="s">
        <v>24</v>
      </c>
      <c r="H116" s="31"/>
      <c r="I116" s="17">
        <v>0.0</v>
      </c>
      <c r="J116" s="148"/>
      <c r="K116" s="149" t="str">
        <f t="shared" si="9"/>
        <v/>
      </c>
      <c r="L116" s="150" t="str">
        <f t="shared" si="10"/>
        <v/>
      </c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AA116" s="3"/>
      <c r="AB116" s="147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158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145</v>
      </c>
      <c r="J117" s="148"/>
      <c r="K117" s="149">
        <f t="shared" si="9"/>
        <v>3</v>
      </c>
      <c r="L117" s="150">
        <f t="shared" si="10"/>
        <v>0</v>
      </c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AA117" s="3"/>
      <c r="AB117" s="147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158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48"/>
      <c r="K118" s="149">
        <f t="shared" si="9"/>
        <v>0</v>
      </c>
      <c r="L118" s="150">
        <f t="shared" si="10"/>
        <v>3</v>
      </c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AA118" s="3"/>
      <c r="AB118" s="147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121</v>
      </c>
      <c r="F119" s="13">
        <v>0.0</v>
      </c>
      <c r="G119" s="31" t="s">
        <v>24</v>
      </c>
      <c r="H119" s="13">
        <v>2.0</v>
      </c>
      <c r="I119" s="17" t="s">
        <v>170</v>
      </c>
      <c r="J119" s="148"/>
      <c r="K119" s="149">
        <f t="shared" si="9"/>
        <v>0</v>
      </c>
      <c r="L119" s="150">
        <f t="shared" si="10"/>
        <v>3</v>
      </c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AA119" s="3"/>
      <c r="AB119" s="147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48"/>
      <c r="K120" s="149">
        <f t="shared" si="9"/>
        <v>0</v>
      </c>
      <c r="L120" s="150">
        <f t="shared" si="10"/>
        <v>3</v>
      </c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AA120" s="3"/>
      <c r="AB120" s="147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215</v>
      </c>
      <c r="F121" s="13">
        <v>0.0</v>
      </c>
      <c r="G121" s="31" t="s">
        <v>24</v>
      </c>
      <c r="H121" s="13">
        <v>2.0</v>
      </c>
      <c r="I121" s="17" t="s">
        <v>183</v>
      </c>
      <c r="J121" s="148"/>
      <c r="K121" s="149">
        <f t="shared" si="9"/>
        <v>0</v>
      </c>
      <c r="L121" s="150">
        <f t="shared" si="10"/>
        <v>3</v>
      </c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AA121" s="3"/>
      <c r="AB121" s="147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1">
        <v>46126.0</v>
      </c>
      <c r="C122" s="66" t="s">
        <v>49</v>
      </c>
      <c r="D122" s="12" t="s">
        <v>22</v>
      </c>
      <c r="E122" s="17" t="s">
        <v>115</v>
      </c>
      <c r="F122" s="13">
        <v>0.0</v>
      </c>
      <c r="G122" s="31" t="s">
        <v>24</v>
      </c>
      <c r="H122" s="13">
        <v>2.0</v>
      </c>
      <c r="I122" s="17" t="s">
        <v>68</v>
      </c>
      <c r="J122" s="148"/>
      <c r="K122" s="149">
        <f t="shared" si="9"/>
        <v>0</v>
      </c>
      <c r="L122" s="150">
        <f t="shared" si="10"/>
        <v>3</v>
      </c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AA122" s="3"/>
      <c r="AB122" s="147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6" t="s">
        <v>49</v>
      </c>
      <c r="D123" s="12" t="s">
        <v>22</v>
      </c>
      <c r="E123" s="17" t="s">
        <v>145</v>
      </c>
      <c r="F123" s="13">
        <v>2.0</v>
      </c>
      <c r="G123" s="31" t="s">
        <v>24</v>
      </c>
      <c r="H123" s="13">
        <v>1.0</v>
      </c>
      <c r="I123" s="17" t="s">
        <v>41</v>
      </c>
      <c r="J123" s="148"/>
      <c r="K123" s="149">
        <f t="shared" si="9"/>
        <v>2</v>
      </c>
      <c r="L123" s="150">
        <f t="shared" si="10"/>
        <v>1</v>
      </c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AA123" s="3"/>
      <c r="AB123" s="147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6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121</v>
      </c>
      <c r="J124" s="148"/>
      <c r="K124" s="149">
        <f t="shared" si="9"/>
        <v>1</v>
      </c>
      <c r="L124" s="150">
        <f t="shared" si="10"/>
        <v>2</v>
      </c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AA124" s="3"/>
      <c r="AB124" s="147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6" t="s">
        <v>21</v>
      </c>
      <c r="D125" s="12" t="s">
        <v>22</v>
      </c>
      <c r="E125" s="17" t="s">
        <v>170</v>
      </c>
      <c r="F125" s="13">
        <v>2.0</v>
      </c>
      <c r="G125" s="31" t="s">
        <v>24</v>
      </c>
      <c r="H125" s="13">
        <v>0.0</v>
      </c>
      <c r="I125" s="17" t="s">
        <v>69</v>
      </c>
      <c r="J125" s="148"/>
      <c r="K125" s="149">
        <f t="shared" si="9"/>
        <v>3</v>
      </c>
      <c r="L125" s="150">
        <f t="shared" si="10"/>
        <v>0</v>
      </c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AA125" s="3"/>
      <c r="AB125" s="147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6" t="s">
        <v>21</v>
      </c>
      <c r="D126" s="12" t="s">
        <v>22</v>
      </c>
      <c r="E126" s="17" t="s">
        <v>40</v>
      </c>
      <c r="F126" s="13">
        <v>0.0</v>
      </c>
      <c r="G126" s="31" t="s">
        <v>24</v>
      </c>
      <c r="H126" s="13">
        <v>2.0</v>
      </c>
      <c r="I126" s="17" t="s">
        <v>215</v>
      </c>
      <c r="J126" s="148"/>
      <c r="K126" s="149">
        <f t="shared" si="9"/>
        <v>0</v>
      </c>
      <c r="L126" s="150">
        <f t="shared" si="10"/>
        <v>3</v>
      </c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AA126" s="3"/>
      <c r="AB126" s="147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2"/>
      <c r="C127" s="164"/>
      <c r="D127" s="164"/>
      <c r="E127" s="17">
        <v>0.0</v>
      </c>
      <c r="F127" s="31"/>
      <c r="G127" s="31" t="s">
        <v>24</v>
      </c>
      <c r="H127" s="31"/>
      <c r="I127" s="17" t="s">
        <v>183</v>
      </c>
      <c r="J127" s="148"/>
      <c r="K127" s="149" t="str">
        <f t="shared" si="9"/>
        <v/>
      </c>
      <c r="L127" s="150" t="str">
        <f t="shared" si="10"/>
        <v/>
      </c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AA127" s="3"/>
      <c r="AB127" s="147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62"/>
      <c r="C128" s="163"/>
      <c r="D128" s="164"/>
      <c r="E128" s="17">
        <v>0.0</v>
      </c>
      <c r="F128" s="31"/>
      <c r="G128" s="31" t="s">
        <v>24</v>
      </c>
      <c r="H128" s="31"/>
      <c r="I128" s="17" t="s">
        <v>68</v>
      </c>
      <c r="J128" s="148"/>
      <c r="K128" s="149" t="str">
        <f t="shared" si="9"/>
        <v/>
      </c>
      <c r="L128" s="150" t="str">
        <f t="shared" si="10"/>
        <v/>
      </c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AA128" s="3"/>
      <c r="AB128" s="147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41</v>
      </c>
      <c r="F129" s="13">
        <v>1.0</v>
      </c>
      <c r="G129" s="31" t="s">
        <v>24</v>
      </c>
      <c r="H129" s="13">
        <v>2.0</v>
      </c>
      <c r="I129" s="17" t="s">
        <v>115</v>
      </c>
      <c r="J129" s="148"/>
      <c r="K129" s="149">
        <f t="shared" si="9"/>
        <v>1</v>
      </c>
      <c r="L129" s="150">
        <f t="shared" si="10"/>
        <v>2</v>
      </c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AA129" s="3"/>
      <c r="AB129" s="147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121</v>
      </c>
      <c r="F130" s="13">
        <v>2.0</v>
      </c>
      <c r="G130" s="31" t="s">
        <v>24</v>
      </c>
      <c r="H130" s="13">
        <v>0.0</v>
      </c>
      <c r="I130" s="17" t="s">
        <v>145</v>
      </c>
      <c r="J130" s="148"/>
      <c r="K130" s="149">
        <f t="shared" si="9"/>
        <v>3</v>
      </c>
      <c r="L130" s="150">
        <f t="shared" si="10"/>
        <v>0</v>
      </c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AA130" s="3"/>
      <c r="AB130" s="147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48"/>
      <c r="K131" s="149">
        <f t="shared" si="9"/>
        <v>0</v>
      </c>
      <c r="L131" s="150">
        <f t="shared" si="10"/>
        <v>3</v>
      </c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AA131" s="3"/>
      <c r="AB131" s="147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35</v>
      </c>
      <c r="D132" s="12" t="s">
        <v>22</v>
      </c>
      <c r="E132" s="17" t="s">
        <v>215</v>
      </c>
      <c r="F132" s="13">
        <v>1.0</v>
      </c>
      <c r="G132" s="31" t="s">
        <v>24</v>
      </c>
      <c r="H132" s="13">
        <v>2.0</v>
      </c>
      <c r="I132" s="17" t="s">
        <v>170</v>
      </c>
      <c r="J132" s="148"/>
      <c r="K132" s="149">
        <f t="shared" si="9"/>
        <v>1</v>
      </c>
      <c r="L132" s="150">
        <f t="shared" si="10"/>
        <v>2</v>
      </c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AA132" s="3"/>
      <c r="AB132" s="147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35</v>
      </c>
      <c r="D133" s="12" t="s">
        <v>22</v>
      </c>
      <c r="E133" s="17" t="s">
        <v>183</v>
      </c>
      <c r="F133" s="13">
        <v>2.0</v>
      </c>
      <c r="G133" s="31" t="s">
        <v>24</v>
      </c>
      <c r="H133" s="13">
        <v>0.0</v>
      </c>
      <c r="I133" s="17" t="s">
        <v>40</v>
      </c>
      <c r="J133" s="148"/>
      <c r="K133" s="149">
        <f t="shared" si="9"/>
        <v>3</v>
      </c>
      <c r="L133" s="150">
        <f t="shared" si="10"/>
        <v>0</v>
      </c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AA133" s="3"/>
      <c r="AB133" s="147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1">
        <v>46147.0</v>
      </c>
      <c r="C134" s="66" t="s">
        <v>49</v>
      </c>
      <c r="D134" s="12" t="s">
        <v>22</v>
      </c>
      <c r="E134" s="17" t="s">
        <v>68</v>
      </c>
      <c r="F134" s="13">
        <v>2.0</v>
      </c>
      <c r="G134" s="31" t="s">
        <v>24</v>
      </c>
      <c r="H134" s="13">
        <v>0.0</v>
      </c>
      <c r="I134" s="17" t="s">
        <v>41</v>
      </c>
      <c r="J134" s="148"/>
      <c r="K134" s="149">
        <f t="shared" si="9"/>
        <v>3</v>
      </c>
      <c r="L134" s="150">
        <f t="shared" si="10"/>
        <v>0</v>
      </c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AA134" s="3"/>
      <c r="AB134" s="147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6" t="s">
        <v>49</v>
      </c>
      <c r="D135" s="12" t="s">
        <v>22</v>
      </c>
      <c r="E135" s="17" t="s">
        <v>115</v>
      </c>
      <c r="F135" s="13">
        <v>2.0</v>
      </c>
      <c r="G135" s="31" t="s">
        <v>24</v>
      </c>
      <c r="H135" s="13">
        <v>0.0</v>
      </c>
      <c r="I135" s="17" t="s">
        <v>121</v>
      </c>
      <c r="J135" s="148"/>
      <c r="K135" s="149">
        <f t="shared" si="9"/>
        <v>3</v>
      </c>
      <c r="L135" s="150">
        <f t="shared" si="10"/>
        <v>0</v>
      </c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AA135" s="3"/>
      <c r="AB135" s="147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6" t="s">
        <v>21</v>
      </c>
      <c r="D136" s="12" t="s">
        <v>22</v>
      </c>
      <c r="E136" s="17" t="s">
        <v>145</v>
      </c>
      <c r="F136" s="13">
        <v>2.0</v>
      </c>
      <c r="G136" s="31" t="s">
        <v>24</v>
      </c>
      <c r="H136" s="13">
        <v>0.0</v>
      </c>
      <c r="I136" s="17" t="s">
        <v>69</v>
      </c>
      <c r="J136" s="148"/>
      <c r="K136" s="149">
        <f t="shared" si="9"/>
        <v>3</v>
      </c>
      <c r="L136" s="150">
        <f t="shared" si="10"/>
        <v>0</v>
      </c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AA136" s="3"/>
      <c r="AB136" s="147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6" t="s">
        <v>21</v>
      </c>
      <c r="D137" s="12" t="s">
        <v>22</v>
      </c>
      <c r="E137" s="17" t="s">
        <v>64</v>
      </c>
      <c r="F137" s="13">
        <v>1.0</v>
      </c>
      <c r="G137" s="31" t="s">
        <v>24</v>
      </c>
      <c r="H137" s="13">
        <v>2.0</v>
      </c>
      <c r="I137" s="17" t="s">
        <v>215</v>
      </c>
      <c r="J137" s="148"/>
      <c r="K137" s="149">
        <f t="shared" si="9"/>
        <v>1</v>
      </c>
      <c r="L137" s="150">
        <f t="shared" si="10"/>
        <v>2</v>
      </c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AA137" s="3"/>
      <c r="AB137" s="147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6" t="s">
        <v>21</v>
      </c>
      <c r="D138" s="12" t="s">
        <v>22</v>
      </c>
      <c r="E138" s="17" t="s">
        <v>170</v>
      </c>
      <c r="F138" s="13">
        <v>0.0</v>
      </c>
      <c r="G138" s="31" t="s">
        <v>24</v>
      </c>
      <c r="H138" s="13">
        <v>2.0</v>
      </c>
      <c r="I138" s="17" t="s">
        <v>183</v>
      </c>
      <c r="J138" s="148"/>
      <c r="K138" s="149">
        <f t="shared" si="9"/>
        <v>0</v>
      </c>
      <c r="L138" s="150">
        <f t="shared" si="10"/>
        <v>3</v>
      </c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AA138" s="3"/>
      <c r="AB138" s="147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2"/>
      <c r="C139" s="164"/>
      <c r="D139" s="164"/>
      <c r="E139" s="17" t="s">
        <v>40</v>
      </c>
      <c r="F139" s="31"/>
      <c r="G139" s="31" t="s">
        <v>24</v>
      </c>
      <c r="H139" s="31"/>
      <c r="I139" s="17">
        <v>0.0</v>
      </c>
      <c r="J139" s="148"/>
      <c r="K139" s="149" t="str">
        <f t="shared" si="9"/>
        <v/>
      </c>
      <c r="L139" s="150" t="str">
        <f t="shared" si="10"/>
        <v/>
      </c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AA139" s="3"/>
      <c r="AB139" s="147"/>
      <c r="AC139" s="3"/>
      <c r="AD139" s="3"/>
      <c r="AE139" s="3"/>
      <c r="AF139" s="3"/>
      <c r="AG139" s="3"/>
      <c r="AH139" s="3"/>
      <c r="AI139" s="3"/>
    </row>
    <row r="140" ht="15.75" customHeight="1">
      <c r="A140" s="166"/>
      <c r="B140" s="167"/>
      <c r="C140" s="168"/>
      <c r="D140" s="168"/>
      <c r="E140" s="169"/>
      <c r="F140" s="42"/>
      <c r="G140" s="42"/>
      <c r="H140" s="42"/>
      <c r="I140" s="169"/>
      <c r="J140" s="148"/>
      <c r="K140" s="149"/>
      <c r="L140" s="150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AA140" s="3"/>
      <c r="AB140" s="147"/>
      <c r="AC140" s="3"/>
      <c r="AD140" s="3"/>
      <c r="AE140" s="3"/>
      <c r="AF140" s="3"/>
      <c r="AG140" s="3"/>
      <c r="AH140" s="3"/>
      <c r="AI140" s="3"/>
    </row>
    <row r="141" ht="15.75" customHeight="1">
      <c r="A141" s="160"/>
      <c r="B141" s="161"/>
      <c r="C141" s="161"/>
      <c r="D141" s="161"/>
      <c r="E141" s="1"/>
      <c r="F141" s="161"/>
      <c r="G141" s="161"/>
      <c r="I141" s="147"/>
      <c r="AA141" s="3"/>
      <c r="AB141" s="147"/>
      <c r="AC141" s="3"/>
      <c r="AD141" s="3"/>
      <c r="AE141" s="3"/>
      <c r="AF141" s="3"/>
      <c r="AG141" s="3"/>
      <c r="AH141" s="3"/>
      <c r="AI141" s="3"/>
    </row>
    <row r="142" ht="15.75" customHeight="1">
      <c r="A142" s="160"/>
      <c r="B142" s="161"/>
      <c r="C142" s="161"/>
      <c r="D142" s="161"/>
      <c r="E142" s="1"/>
      <c r="F142" s="161"/>
      <c r="G142" s="161"/>
      <c r="I142" s="147"/>
      <c r="AA142" s="3"/>
      <c r="AB142" s="147"/>
      <c r="AC142" s="3"/>
      <c r="AD142" s="3"/>
      <c r="AE142" s="3"/>
      <c r="AF142" s="3"/>
      <c r="AG142" s="3"/>
      <c r="AH142" s="3"/>
      <c r="AI142" s="3"/>
    </row>
    <row r="143" ht="15.75" customHeight="1">
      <c r="A143" s="160"/>
      <c r="B143" s="161"/>
      <c r="C143" s="161"/>
      <c r="D143" s="161"/>
      <c r="E143" s="1"/>
      <c r="F143" s="161"/>
      <c r="G143" s="161"/>
      <c r="I143" s="147"/>
      <c r="AA143" s="3"/>
      <c r="AB143" s="147"/>
      <c r="AC143" s="3"/>
      <c r="AD143" s="3"/>
      <c r="AE143" s="3"/>
      <c r="AF143" s="3"/>
      <c r="AG143" s="3"/>
      <c r="AH143" s="3"/>
      <c r="AI143" s="3"/>
    </row>
    <row r="144" ht="15.75" customHeight="1">
      <c r="A144" s="170" t="s">
        <v>218</v>
      </c>
      <c r="I144" s="147"/>
      <c r="AA144" s="3"/>
      <c r="AB144" s="147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210</v>
      </c>
      <c r="U145" s="9" t="s">
        <v>211</v>
      </c>
      <c r="V145" s="9" t="s">
        <v>212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210</v>
      </c>
      <c r="AH145" s="5" t="s">
        <v>211</v>
      </c>
      <c r="AI145" s="5" t="s">
        <v>212</v>
      </c>
    </row>
    <row r="146" ht="15.75" customHeight="1">
      <c r="A146" s="65">
        <v>1.0</v>
      </c>
      <c r="B146" s="11">
        <v>45944.0</v>
      </c>
      <c r="C146" s="12" t="s">
        <v>156</v>
      </c>
      <c r="D146" s="12" t="s">
        <v>22</v>
      </c>
      <c r="E146" s="17" t="s">
        <v>134</v>
      </c>
      <c r="F146" s="13">
        <v>2.0</v>
      </c>
      <c r="G146" s="31" t="s">
        <v>24</v>
      </c>
      <c r="H146" s="13">
        <v>1.0</v>
      </c>
      <c r="I146" s="17" t="s">
        <v>60</v>
      </c>
      <c r="J146" s="148"/>
      <c r="K146" s="149">
        <f t="shared" ref="K146:K211" si="17">IFS(F146=H146+2,3,F146=H146-2,0,F146=H146+1,2,F146=H146-1,1,F146="","")</f>
        <v>2</v>
      </c>
      <c r="L146" s="150">
        <f t="shared" ref="L146:L211" si="18">IFS(H146=F146+2,3,H146=F146-2,0,H146=F146+1,2,H146=F146-1,1,H146="","")</f>
        <v>1</v>
      </c>
      <c r="M146" s="148"/>
      <c r="N146" s="150">
        <v>1.0</v>
      </c>
      <c r="O146" s="151" t="s">
        <v>134</v>
      </c>
      <c r="P146" s="150">
        <f t="shared" ref="P146:P156" si="19">SUMIF(E$146:E$211,O146,K$146:K$211)+SUMIF(I$146:I$211,O146,L$146:L$211)</f>
        <v>20</v>
      </c>
      <c r="Q146" s="152">
        <f t="shared" ref="Q146:Q156" si="20">COUNTIFS(E$146:E$211,O146,K$146:K$211,2)+COUNTIFS(I$146:I$211,O146,L$146:L$211,2)+COUNTIFS(E$146:E$211,O146,K$146:K$211,3)+COUNTIFS(I$146:I$211,O146,L$146:L$211,3)</f>
        <v>7</v>
      </c>
      <c r="R146" s="153"/>
      <c r="S146" s="153">
        <f t="shared" ref="S146:S156" si="21">COUNTIFS(E$146:E$211,O146,K$146:K$211,1)+COUNTIFS(I$146:I$211,O146,L$146:L$211,1)+COUNTIFS(E$146:E$211,O146,K$146:K$211,0)+COUNTIFS(I$146:I$211,O146,L$146:L$211,0)</f>
        <v>3</v>
      </c>
      <c r="T146" s="150">
        <f t="shared" ref="T146:T156" si="22">SUMIF(E$146:E$211,O146,F$146:F$211)+SUMIF(I$146:I$211,O146,H$146:H$211)</f>
        <v>15</v>
      </c>
      <c r="U146" s="153">
        <f t="shared" ref="U146:U156" si="23">SUMIF(E$146:E$211,O146,H$146:H$211)+SUMIF(I$146:I$211,O146,F$146:F$211)</f>
        <v>8</v>
      </c>
      <c r="V146" s="150">
        <f t="shared" ref="V146:V156" si="24">T146-U146</f>
        <v>7</v>
      </c>
      <c r="X146" s="136" t="s">
        <v>26</v>
      </c>
      <c r="Y146" s="136" t="s">
        <v>13</v>
      </c>
      <c r="AA146" s="45" t="s">
        <v>29</v>
      </c>
      <c r="AB146" s="70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156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39</v>
      </c>
      <c r="J147" s="148"/>
      <c r="K147" s="149">
        <f t="shared" si="17"/>
        <v>3</v>
      </c>
      <c r="L147" s="150">
        <f t="shared" si="18"/>
        <v>0</v>
      </c>
      <c r="M147" s="148"/>
      <c r="N147" s="150">
        <v>2.0</v>
      </c>
      <c r="O147" s="151" t="s">
        <v>169</v>
      </c>
      <c r="P147" s="150">
        <f t="shared" si="19"/>
        <v>20</v>
      </c>
      <c r="Q147" s="152">
        <f t="shared" si="20"/>
        <v>7</v>
      </c>
      <c r="R147" s="153"/>
      <c r="S147" s="153">
        <f t="shared" si="21"/>
        <v>3</v>
      </c>
      <c r="T147" s="150">
        <f t="shared" si="22"/>
        <v>16</v>
      </c>
      <c r="U147" s="153">
        <f t="shared" si="23"/>
        <v>9</v>
      </c>
      <c r="V147" s="150">
        <f t="shared" si="24"/>
        <v>7</v>
      </c>
      <c r="X147" s="137" t="s">
        <v>33</v>
      </c>
      <c r="Y147" s="137">
        <v>3.0</v>
      </c>
      <c r="AA147" s="125" t="s">
        <v>119</v>
      </c>
      <c r="AB147" s="70" t="s">
        <v>45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172</v>
      </c>
      <c r="D148" s="12" t="s">
        <v>22</v>
      </c>
      <c r="E148" s="17" t="s">
        <v>219</v>
      </c>
      <c r="F148" s="13">
        <v>2.0</v>
      </c>
      <c r="G148" s="31" t="s">
        <v>24</v>
      </c>
      <c r="H148" s="13">
        <v>0.0</v>
      </c>
      <c r="I148" s="17" t="s">
        <v>65</v>
      </c>
      <c r="J148" s="148"/>
      <c r="K148" s="149">
        <f t="shared" si="17"/>
        <v>3</v>
      </c>
      <c r="L148" s="150">
        <f t="shared" si="18"/>
        <v>0</v>
      </c>
      <c r="M148" s="148"/>
      <c r="N148" s="150">
        <v>3.0</v>
      </c>
      <c r="O148" s="151" t="s">
        <v>60</v>
      </c>
      <c r="P148" s="150">
        <f t="shared" si="19"/>
        <v>25</v>
      </c>
      <c r="Q148" s="152">
        <f t="shared" si="20"/>
        <v>8</v>
      </c>
      <c r="R148" s="153"/>
      <c r="S148" s="153">
        <f t="shared" si="21"/>
        <v>2</v>
      </c>
      <c r="T148" s="150">
        <f t="shared" si="22"/>
        <v>18</v>
      </c>
      <c r="U148" s="153">
        <f t="shared" si="23"/>
        <v>5</v>
      </c>
      <c r="V148" s="150">
        <f t="shared" si="24"/>
        <v>13</v>
      </c>
      <c r="X148" s="137" t="s">
        <v>41</v>
      </c>
      <c r="Y148" s="137">
        <v>0.0</v>
      </c>
      <c r="AA148" s="22">
        <v>3.0</v>
      </c>
      <c r="AB148" s="70" t="s">
        <v>134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154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117</v>
      </c>
      <c r="J149" s="148"/>
      <c r="K149" s="149">
        <f t="shared" si="17"/>
        <v>1</v>
      </c>
      <c r="L149" s="150">
        <f t="shared" si="18"/>
        <v>2</v>
      </c>
      <c r="M149" s="148"/>
      <c r="N149" s="150">
        <v>4.0</v>
      </c>
      <c r="O149" s="151" t="s">
        <v>63</v>
      </c>
      <c r="P149" s="150">
        <f t="shared" si="19"/>
        <v>5</v>
      </c>
      <c r="Q149" s="152">
        <f t="shared" si="20"/>
        <v>2</v>
      </c>
      <c r="R149" s="153"/>
      <c r="S149" s="153">
        <f t="shared" si="21"/>
        <v>8</v>
      </c>
      <c r="T149" s="150">
        <f t="shared" si="22"/>
        <v>4</v>
      </c>
      <c r="U149" s="153">
        <f t="shared" si="23"/>
        <v>17</v>
      </c>
      <c r="V149" s="150">
        <f t="shared" si="24"/>
        <v>-13</v>
      </c>
      <c r="AA149" s="22">
        <v>4.0</v>
      </c>
      <c r="AB149" s="70" t="s">
        <v>169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154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48"/>
      <c r="K150" s="149">
        <f t="shared" si="17"/>
        <v>0</v>
      </c>
      <c r="L150" s="150">
        <f t="shared" si="18"/>
        <v>3</v>
      </c>
      <c r="M150" s="148"/>
      <c r="N150" s="150">
        <v>5.0</v>
      </c>
      <c r="O150" s="151" t="s">
        <v>39</v>
      </c>
      <c r="P150" s="150">
        <f t="shared" si="19"/>
        <v>6</v>
      </c>
      <c r="Q150" s="152">
        <f t="shared" si="20"/>
        <v>1</v>
      </c>
      <c r="R150" s="153"/>
      <c r="S150" s="153">
        <f t="shared" si="21"/>
        <v>9</v>
      </c>
      <c r="T150" s="150">
        <f t="shared" si="22"/>
        <v>5</v>
      </c>
      <c r="U150" s="153">
        <f t="shared" si="23"/>
        <v>18</v>
      </c>
      <c r="V150" s="150">
        <f t="shared" si="24"/>
        <v>-13</v>
      </c>
      <c r="AA150" s="22">
        <v>5.0</v>
      </c>
      <c r="AB150" s="70" t="s">
        <v>33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2"/>
      <c r="C151" s="163"/>
      <c r="D151" s="164"/>
      <c r="E151" s="17">
        <v>0.0</v>
      </c>
      <c r="F151" s="31"/>
      <c r="G151" s="31" t="s">
        <v>24</v>
      </c>
      <c r="H151" s="31"/>
      <c r="I151" s="17" t="s">
        <v>169</v>
      </c>
      <c r="J151" s="148"/>
      <c r="K151" s="149" t="str">
        <f t="shared" si="17"/>
        <v/>
      </c>
      <c r="L151" s="150" t="str">
        <f t="shared" si="18"/>
        <v/>
      </c>
      <c r="M151" s="148"/>
      <c r="N151" s="150">
        <v>6.0</v>
      </c>
      <c r="O151" s="151" t="s">
        <v>59</v>
      </c>
      <c r="P151" s="150">
        <f t="shared" si="19"/>
        <v>16</v>
      </c>
      <c r="Q151" s="152">
        <f t="shared" si="20"/>
        <v>5</v>
      </c>
      <c r="R151" s="153"/>
      <c r="S151" s="153">
        <f t="shared" si="21"/>
        <v>5</v>
      </c>
      <c r="T151" s="150">
        <f t="shared" si="22"/>
        <v>11</v>
      </c>
      <c r="U151" s="153">
        <f t="shared" si="23"/>
        <v>10</v>
      </c>
      <c r="V151" s="150">
        <f t="shared" si="24"/>
        <v>1</v>
      </c>
      <c r="AA151" s="22">
        <v>6.0</v>
      </c>
      <c r="AB151" s="70" t="s">
        <v>59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5">
        <v>2.0</v>
      </c>
      <c r="B152" s="162"/>
      <c r="C152" s="163"/>
      <c r="D152" s="164"/>
      <c r="E152" s="17" t="s">
        <v>60</v>
      </c>
      <c r="F152" s="31"/>
      <c r="G152" s="31" t="s">
        <v>24</v>
      </c>
      <c r="H152" s="31"/>
      <c r="I152" s="17">
        <v>0.0</v>
      </c>
      <c r="J152" s="148"/>
      <c r="K152" s="149" t="str">
        <f t="shared" si="17"/>
        <v/>
      </c>
      <c r="L152" s="150" t="str">
        <f t="shared" si="18"/>
        <v/>
      </c>
      <c r="M152" s="148"/>
      <c r="N152" s="150">
        <v>7.0</v>
      </c>
      <c r="O152" s="151" t="s">
        <v>65</v>
      </c>
      <c r="P152" s="150">
        <f t="shared" si="19"/>
        <v>5</v>
      </c>
      <c r="Q152" s="152">
        <f t="shared" si="20"/>
        <v>2</v>
      </c>
      <c r="R152" s="153"/>
      <c r="S152" s="153">
        <f t="shared" si="21"/>
        <v>8</v>
      </c>
      <c r="T152" s="150">
        <f t="shared" si="22"/>
        <v>4</v>
      </c>
      <c r="U152" s="153">
        <f t="shared" si="23"/>
        <v>17</v>
      </c>
      <c r="V152" s="150">
        <f t="shared" si="24"/>
        <v>-13</v>
      </c>
      <c r="AA152" s="22">
        <v>7.0</v>
      </c>
      <c r="AB152" s="70" t="s">
        <v>117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154</v>
      </c>
      <c r="D153" s="12" t="s">
        <v>22</v>
      </c>
      <c r="E153" s="17" t="s">
        <v>39</v>
      </c>
      <c r="F153" s="13">
        <v>1.0</v>
      </c>
      <c r="G153" s="31" t="s">
        <v>24</v>
      </c>
      <c r="H153" s="13">
        <v>2.0</v>
      </c>
      <c r="I153" s="17" t="s">
        <v>134</v>
      </c>
      <c r="J153" s="148"/>
      <c r="K153" s="149">
        <f t="shared" si="17"/>
        <v>1</v>
      </c>
      <c r="L153" s="150">
        <f t="shared" si="18"/>
        <v>2</v>
      </c>
      <c r="M153" s="148"/>
      <c r="N153" s="150">
        <v>8.0</v>
      </c>
      <c r="O153" s="151" t="s">
        <v>219</v>
      </c>
      <c r="P153" s="150">
        <f t="shared" si="19"/>
        <v>11</v>
      </c>
      <c r="Q153" s="152">
        <f t="shared" si="20"/>
        <v>3</v>
      </c>
      <c r="R153" s="153"/>
      <c r="S153" s="153">
        <f t="shared" si="21"/>
        <v>7</v>
      </c>
      <c r="T153" s="150">
        <f t="shared" si="22"/>
        <v>8</v>
      </c>
      <c r="U153" s="153">
        <f t="shared" si="23"/>
        <v>14</v>
      </c>
      <c r="V153" s="150">
        <f t="shared" si="24"/>
        <v>-6</v>
      </c>
      <c r="AA153" s="22">
        <v>8.0</v>
      </c>
      <c r="AB153" s="70" t="s">
        <v>219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6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48"/>
      <c r="K154" s="149">
        <f t="shared" si="17"/>
        <v>0</v>
      </c>
      <c r="L154" s="150">
        <f t="shared" si="18"/>
        <v>3</v>
      </c>
      <c r="M154" s="148"/>
      <c r="N154" s="150">
        <v>9.0</v>
      </c>
      <c r="O154" s="151" t="s">
        <v>117</v>
      </c>
      <c r="P154" s="150">
        <f t="shared" si="19"/>
        <v>15</v>
      </c>
      <c r="Q154" s="152">
        <f t="shared" si="20"/>
        <v>6</v>
      </c>
      <c r="R154" s="153"/>
      <c r="S154" s="153">
        <f t="shared" si="21"/>
        <v>4</v>
      </c>
      <c r="T154" s="150">
        <f t="shared" si="22"/>
        <v>13</v>
      </c>
      <c r="U154" s="153">
        <f t="shared" si="23"/>
        <v>12</v>
      </c>
      <c r="V154" s="150">
        <f t="shared" si="24"/>
        <v>1</v>
      </c>
      <c r="AA154" s="22">
        <v>9.0</v>
      </c>
      <c r="AB154" s="70" t="s">
        <v>39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117</v>
      </c>
      <c r="F155" s="13">
        <v>2.0</v>
      </c>
      <c r="G155" s="31" t="s">
        <v>24</v>
      </c>
      <c r="H155" s="13">
        <v>1.0</v>
      </c>
      <c r="I155" s="17" t="s">
        <v>219</v>
      </c>
      <c r="J155" s="148"/>
      <c r="K155" s="149">
        <f t="shared" si="17"/>
        <v>2</v>
      </c>
      <c r="L155" s="150">
        <f t="shared" si="18"/>
        <v>1</v>
      </c>
      <c r="M155" s="148"/>
      <c r="N155" s="150">
        <v>10.0</v>
      </c>
      <c r="O155" s="151" t="s">
        <v>45</v>
      </c>
      <c r="P155" s="150">
        <f t="shared" si="19"/>
        <v>22</v>
      </c>
      <c r="Q155" s="152">
        <f t="shared" si="20"/>
        <v>7</v>
      </c>
      <c r="R155" s="153"/>
      <c r="S155" s="153">
        <f t="shared" si="21"/>
        <v>3</v>
      </c>
      <c r="T155" s="150">
        <f t="shared" si="22"/>
        <v>15</v>
      </c>
      <c r="U155" s="153">
        <f t="shared" si="23"/>
        <v>6</v>
      </c>
      <c r="V155" s="150">
        <f t="shared" si="24"/>
        <v>9</v>
      </c>
      <c r="AA155" s="22">
        <v>10.0</v>
      </c>
      <c r="AB155" s="70" t="s">
        <v>63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48"/>
      <c r="K156" s="149">
        <f t="shared" si="17"/>
        <v>0</v>
      </c>
      <c r="L156" s="150">
        <f t="shared" si="18"/>
        <v>3</v>
      </c>
      <c r="M156" s="148"/>
      <c r="N156" s="165">
        <v>11.0</v>
      </c>
      <c r="O156" s="165" t="s">
        <v>33</v>
      </c>
      <c r="P156" s="150">
        <f t="shared" si="19"/>
        <v>20</v>
      </c>
      <c r="Q156" s="152">
        <f t="shared" si="20"/>
        <v>7</v>
      </c>
      <c r="S156" s="153">
        <f t="shared" si="21"/>
        <v>3</v>
      </c>
      <c r="T156" s="150">
        <f t="shared" si="22"/>
        <v>15</v>
      </c>
      <c r="U156" s="153">
        <f t="shared" si="23"/>
        <v>8</v>
      </c>
      <c r="V156" s="150">
        <f t="shared" si="24"/>
        <v>7</v>
      </c>
      <c r="AA156" s="52">
        <v>11.0</v>
      </c>
      <c r="AB156" s="70" t="s">
        <v>65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169</v>
      </c>
      <c r="F157" s="13">
        <v>1.0</v>
      </c>
      <c r="G157" s="31" t="s">
        <v>24</v>
      </c>
      <c r="H157" s="13">
        <v>2.0</v>
      </c>
      <c r="I157" s="17" t="s">
        <v>63</v>
      </c>
      <c r="J157" s="148"/>
      <c r="K157" s="149">
        <f t="shared" si="17"/>
        <v>1</v>
      </c>
      <c r="L157" s="150">
        <f t="shared" si="18"/>
        <v>2</v>
      </c>
      <c r="M157" s="148"/>
      <c r="AA157" s="35" t="s">
        <v>220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39</v>
      </c>
      <c r="J158" s="148"/>
      <c r="K158" s="149">
        <f t="shared" si="17"/>
        <v>3</v>
      </c>
      <c r="L158" s="150">
        <f t="shared" si="18"/>
        <v>0</v>
      </c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AA158" s="79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134</v>
      </c>
      <c r="F159" s="13">
        <v>2.0</v>
      </c>
      <c r="G159" s="31" t="s">
        <v>24</v>
      </c>
      <c r="H159" s="13">
        <v>0.0</v>
      </c>
      <c r="I159" s="17" t="s">
        <v>65</v>
      </c>
      <c r="J159" s="148"/>
      <c r="K159" s="149">
        <f t="shared" si="17"/>
        <v>3</v>
      </c>
      <c r="L159" s="150">
        <f t="shared" si="18"/>
        <v>0</v>
      </c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117</v>
      </c>
      <c r="J160" s="148"/>
      <c r="K160" s="149">
        <f t="shared" si="17"/>
        <v>3</v>
      </c>
      <c r="L160" s="150">
        <f t="shared" si="18"/>
        <v>0</v>
      </c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219</v>
      </c>
      <c r="F161" s="13">
        <v>0.0</v>
      </c>
      <c r="G161" s="31" t="s">
        <v>24</v>
      </c>
      <c r="H161" s="13">
        <v>2.0</v>
      </c>
      <c r="I161" s="17" t="s">
        <v>33</v>
      </c>
      <c r="J161" s="158"/>
      <c r="K161" s="149">
        <f t="shared" si="17"/>
        <v>0</v>
      </c>
      <c r="L161" s="150">
        <f t="shared" si="18"/>
        <v>3</v>
      </c>
      <c r="M161" s="148"/>
      <c r="N161" s="148"/>
      <c r="O161" s="148"/>
      <c r="P161" s="148"/>
      <c r="R161" s="148"/>
      <c r="S161" s="148"/>
      <c r="T161" s="148"/>
      <c r="U161" s="148"/>
      <c r="V161" s="148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169</v>
      </c>
      <c r="J162" s="148"/>
      <c r="K162" s="149">
        <f t="shared" si="17"/>
        <v>0</v>
      </c>
      <c r="L162" s="150">
        <f t="shared" si="18"/>
        <v>3</v>
      </c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AG162" s="3"/>
      <c r="AH162" s="3"/>
      <c r="AI162" s="3"/>
    </row>
    <row r="163" ht="15.75" customHeight="1">
      <c r="A163" s="29"/>
      <c r="B163" s="162"/>
      <c r="C163" s="164"/>
      <c r="D163" s="164"/>
      <c r="E163" s="17">
        <v>0.0</v>
      </c>
      <c r="F163" s="31"/>
      <c r="G163" s="31" t="s">
        <v>24</v>
      </c>
      <c r="H163" s="31"/>
      <c r="I163" s="17" t="s">
        <v>63</v>
      </c>
      <c r="J163" s="148"/>
      <c r="K163" s="149" t="str">
        <f t="shared" si="17"/>
        <v/>
      </c>
      <c r="L163" s="150" t="str">
        <f t="shared" si="18"/>
        <v/>
      </c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AA163" s="81" t="s">
        <v>111</v>
      </c>
      <c r="AB163" s="82"/>
      <c r="AC163" s="82"/>
      <c r="AD163" s="82"/>
      <c r="AE163" s="82"/>
      <c r="AF163" s="82"/>
      <c r="AG163" s="82"/>
      <c r="AH163" s="82"/>
      <c r="AI163" s="83"/>
    </row>
    <row r="164" ht="15.75" customHeight="1">
      <c r="A164" s="143">
        <v>4.0</v>
      </c>
      <c r="B164" s="162"/>
      <c r="C164" s="164"/>
      <c r="D164" s="164"/>
      <c r="E164" s="17" t="s">
        <v>39</v>
      </c>
      <c r="F164" s="31"/>
      <c r="G164" s="31" t="s">
        <v>24</v>
      </c>
      <c r="H164" s="31"/>
      <c r="I164" s="17">
        <v>0.0</v>
      </c>
      <c r="J164" s="148"/>
      <c r="K164" s="149" t="str">
        <f t="shared" si="17"/>
        <v/>
      </c>
      <c r="L164" s="150" t="str">
        <f t="shared" si="18"/>
        <v/>
      </c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AA164" s="84"/>
      <c r="AB164" s="85"/>
      <c r="AC164" s="85"/>
      <c r="AD164" s="85"/>
      <c r="AE164" s="85"/>
      <c r="AF164" s="85"/>
      <c r="AG164" s="85"/>
      <c r="AH164" s="85"/>
      <c r="AI164" s="86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48"/>
      <c r="K165" s="149">
        <f t="shared" si="17"/>
        <v>0</v>
      </c>
      <c r="L165" s="150">
        <f t="shared" si="18"/>
        <v>3</v>
      </c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AA165" s="5" t="s">
        <v>11</v>
      </c>
      <c r="AB165" s="5" t="s">
        <v>12</v>
      </c>
      <c r="AC165" s="5" t="s">
        <v>13</v>
      </c>
      <c r="AD165" s="5" t="s">
        <v>14</v>
      </c>
      <c r="AE165" s="5" t="s">
        <v>15</v>
      </c>
      <c r="AF165" s="5" t="s">
        <v>16</v>
      </c>
      <c r="AG165" s="5" t="s">
        <v>210</v>
      </c>
      <c r="AH165" s="5" t="s">
        <v>211</v>
      </c>
      <c r="AI165" s="5" t="s">
        <v>212</v>
      </c>
    </row>
    <row r="166" ht="15.75" customHeight="1">
      <c r="A166" s="25"/>
      <c r="B166" s="11">
        <v>45980.0</v>
      </c>
      <c r="C166" s="12" t="s">
        <v>129</v>
      </c>
      <c r="D166" s="12" t="s">
        <v>22</v>
      </c>
      <c r="E166" s="17" t="s">
        <v>117</v>
      </c>
      <c r="F166" s="13">
        <v>2.0</v>
      </c>
      <c r="G166" s="31" t="s">
        <v>24</v>
      </c>
      <c r="H166" s="13">
        <v>1.0</v>
      </c>
      <c r="I166" s="17" t="s">
        <v>134</v>
      </c>
      <c r="J166" s="148"/>
      <c r="K166" s="149">
        <f t="shared" si="17"/>
        <v>2</v>
      </c>
      <c r="L166" s="150">
        <f t="shared" si="18"/>
        <v>1</v>
      </c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AA166" s="45" t="s">
        <v>29</v>
      </c>
      <c r="AB166" s="70" t="s">
        <v>60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129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48"/>
      <c r="K167" s="149">
        <f t="shared" si="17"/>
        <v>2</v>
      </c>
      <c r="L167" s="150">
        <f t="shared" si="18"/>
        <v>1</v>
      </c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AA167" s="125" t="s">
        <v>119</v>
      </c>
      <c r="AB167" s="70" t="s">
        <v>45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158</v>
      </c>
      <c r="D168" s="12" t="s">
        <v>22</v>
      </c>
      <c r="E168" s="17" t="s">
        <v>169</v>
      </c>
      <c r="F168" s="13">
        <v>2.0</v>
      </c>
      <c r="G168" s="31" t="s">
        <v>24</v>
      </c>
      <c r="H168" s="13">
        <v>1.0</v>
      </c>
      <c r="I168" s="17" t="s">
        <v>219</v>
      </c>
      <c r="J168" s="148"/>
      <c r="K168" s="149">
        <f t="shared" si="17"/>
        <v>2</v>
      </c>
      <c r="L168" s="150">
        <f t="shared" si="18"/>
        <v>1</v>
      </c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AA168" s="22">
        <v>3.0</v>
      </c>
      <c r="AB168" s="70" t="s">
        <v>134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172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48"/>
      <c r="K169" s="149">
        <f t="shared" si="17"/>
        <v>0</v>
      </c>
      <c r="L169" s="150">
        <f t="shared" si="18"/>
        <v>3</v>
      </c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AA169" s="22">
        <v>4.0</v>
      </c>
      <c r="AB169" s="70" t="s">
        <v>33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39</v>
      </c>
      <c r="F170" s="13">
        <v>1.0</v>
      </c>
      <c r="G170" s="31" t="s">
        <v>24</v>
      </c>
      <c r="H170" s="13">
        <v>2.0</v>
      </c>
      <c r="I170" s="17" t="s">
        <v>65</v>
      </c>
      <c r="J170" s="148"/>
      <c r="K170" s="149">
        <f t="shared" si="17"/>
        <v>1</v>
      </c>
      <c r="L170" s="150">
        <f t="shared" si="18"/>
        <v>2</v>
      </c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AA170" s="22">
        <v>5.0</v>
      </c>
      <c r="AB170" s="70" t="s">
        <v>169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59">
        <v>2.0</v>
      </c>
      <c r="G171" s="31" t="s">
        <v>24</v>
      </c>
      <c r="H171" s="13">
        <v>0.0</v>
      </c>
      <c r="I171" s="17" t="s">
        <v>117</v>
      </c>
      <c r="J171" s="148"/>
      <c r="K171" s="149">
        <f t="shared" si="17"/>
        <v>3</v>
      </c>
      <c r="L171" s="150">
        <f t="shared" si="18"/>
        <v>0</v>
      </c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AA171" s="22">
        <v>6.0</v>
      </c>
      <c r="AB171" s="70" t="s">
        <v>59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134</v>
      </c>
      <c r="F172" s="159">
        <v>2.0</v>
      </c>
      <c r="G172" s="31" t="s">
        <v>24</v>
      </c>
      <c r="H172" s="13">
        <v>0.0</v>
      </c>
      <c r="I172" s="17" t="s">
        <v>33</v>
      </c>
      <c r="J172" s="148"/>
      <c r="K172" s="149">
        <f t="shared" si="17"/>
        <v>3</v>
      </c>
      <c r="L172" s="150">
        <f t="shared" si="18"/>
        <v>0</v>
      </c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AA172" s="22">
        <v>7.0</v>
      </c>
      <c r="AB172" s="70" t="s">
        <v>117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59">
        <v>0.0</v>
      </c>
      <c r="G173" s="31" t="s">
        <v>24</v>
      </c>
      <c r="H173" s="13">
        <v>2.0</v>
      </c>
      <c r="I173" s="17" t="s">
        <v>169</v>
      </c>
      <c r="J173" s="148"/>
      <c r="K173" s="149">
        <f t="shared" si="17"/>
        <v>0</v>
      </c>
      <c r="L173" s="150">
        <f t="shared" si="18"/>
        <v>3</v>
      </c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AA173" s="22">
        <v>8.0</v>
      </c>
      <c r="AB173" s="70" t="s">
        <v>219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219</v>
      </c>
      <c r="F174" s="159">
        <v>0.0</v>
      </c>
      <c r="G174" s="31" t="s">
        <v>24</v>
      </c>
      <c r="H174" s="13">
        <v>2.0</v>
      </c>
      <c r="I174" s="17" t="s">
        <v>63</v>
      </c>
      <c r="J174" s="148"/>
      <c r="K174" s="149">
        <f t="shared" si="17"/>
        <v>0</v>
      </c>
      <c r="L174" s="150">
        <f t="shared" si="18"/>
        <v>3</v>
      </c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AA174" s="22">
        <v>9.0</v>
      </c>
      <c r="AB174" s="70" t="s">
        <v>39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2"/>
      <c r="C175" s="164"/>
      <c r="D175" s="164"/>
      <c r="E175" s="17">
        <v>0.0</v>
      </c>
      <c r="F175" s="164"/>
      <c r="G175" s="31" t="s">
        <v>24</v>
      </c>
      <c r="H175" s="31"/>
      <c r="I175" s="17" t="s">
        <v>59</v>
      </c>
      <c r="J175" s="148"/>
      <c r="K175" s="149" t="str">
        <f t="shared" si="17"/>
        <v/>
      </c>
      <c r="L175" s="150" t="str">
        <f t="shared" si="18"/>
        <v/>
      </c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AA175" s="22">
        <v>10.0</v>
      </c>
      <c r="AB175" s="70" t="s">
        <v>65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5">
        <v>6.0</v>
      </c>
      <c r="B176" s="162"/>
      <c r="C176" s="163"/>
      <c r="D176" s="164"/>
      <c r="E176" s="17" t="s">
        <v>65</v>
      </c>
      <c r="F176" s="31"/>
      <c r="G176" s="31" t="s">
        <v>24</v>
      </c>
      <c r="H176" s="31"/>
      <c r="I176" s="17">
        <v>0.0</v>
      </c>
      <c r="J176" s="148"/>
      <c r="K176" s="149" t="str">
        <f t="shared" si="17"/>
        <v/>
      </c>
      <c r="L176" s="150" t="str">
        <f t="shared" si="18"/>
        <v/>
      </c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AA176" s="52">
        <v>11.0</v>
      </c>
      <c r="AB176" s="70" t="s">
        <v>63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117</v>
      </c>
      <c r="F177" s="13">
        <v>2.0</v>
      </c>
      <c r="G177" s="31" t="s">
        <v>24</v>
      </c>
      <c r="H177" s="13">
        <v>1.0</v>
      </c>
      <c r="I177" s="17" t="s">
        <v>39</v>
      </c>
      <c r="J177" s="148"/>
      <c r="K177" s="149">
        <f t="shared" si="17"/>
        <v>2</v>
      </c>
      <c r="L177" s="150">
        <f t="shared" si="18"/>
        <v>1</v>
      </c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AA177" s="35" t="s">
        <v>221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48"/>
      <c r="K178" s="149">
        <f t="shared" si="17"/>
        <v>1</v>
      </c>
      <c r="L178" s="150">
        <f t="shared" si="18"/>
        <v>2</v>
      </c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AA178" s="79" t="s">
        <v>109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169</v>
      </c>
      <c r="F179" s="13">
        <v>0.0</v>
      </c>
      <c r="G179" s="31" t="s">
        <v>24</v>
      </c>
      <c r="H179" s="13">
        <v>2.0</v>
      </c>
      <c r="I179" s="17" t="s">
        <v>134</v>
      </c>
      <c r="J179" s="148"/>
      <c r="K179" s="149">
        <f t="shared" si="17"/>
        <v>0</v>
      </c>
      <c r="L179" s="150">
        <f t="shared" si="18"/>
        <v>3</v>
      </c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AA179" s="3"/>
      <c r="AB179" s="147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48"/>
      <c r="K180" s="149">
        <f t="shared" si="17"/>
        <v>0</v>
      </c>
      <c r="L180" s="150">
        <f t="shared" si="18"/>
        <v>3</v>
      </c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AA180" s="3"/>
      <c r="AB180" s="147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219</v>
      </c>
      <c r="J181" s="148"/>
      <c r="K181" s="149">
        <f t="shared" si="17"/>
        <v>3</v>
      </c>
      <c r="L181" s="150">
        <f t="shared" si="18"/>
        <v>0</v>
      </c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AA181" s="3"/>
      <c r="AB181" s="147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117</v>
      </c>
      <c r="J182" s="148"/>
      <c r="K182" s="149">
        <f t="shared" si="17"/>
        <v>0</v>
      </c>
      <c r="L182" s="150">
        <f t="shared" si="18"/>
        <v>3</v>
      </c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AA182" s="157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172</v>
      </c>
      <c r="D183" s="12" t="s">
        <v>22</v>
      </c>
      <c r="E183" s="17" t="s">
        <v>39</v>
      </c>
      <c r="F183" s="13">
        <v>0.0</v>
      </c>
      <c r="G183" s="31" t="s">
        <v>24</v>
      </c>
      <c r="H183" s="13">
        <v>2.0</v>
      </c>
      <c r="I183" s="17" t="s">
        <v>33</v>
      </c>
      <c r="J183" s="148"/>
      <c r="K183" s="149">
        <f t="shared" si="17"/>
        <v>0</v>
      </c>
      <c r="L183" s="150">
        <f t="shared" si="18"/>
        <v>3</v>
      </c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172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169</v>
      </c>
      <c r="J184" s="148"/>
      <c r="K184" s="149">
        <f t="shared" si="17"/>
        <v>1</v>
      </c>
      <c r="L184" s="150">
        <f t="shared" si="18"/>
        <v>2</v>
      </c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AG184" s="3"/>
      <c r="AH184" s="3"/>
      <c r="AI184" s="3"/>
    </row>
    <row r="185" ht="15.75" customHeight="1">
      <c r="A185" s="25"/>
      <c r="B185" s="11">
        <v>46089.0</v>
      </c>
      <c r="C185" s="12" t="s">
        <v>172</v>
      </c>
      <c r="D185" s="12" t="s">
        <v>22</v>
      </c>
      <c r="E185" s="17" t="s">
        <v>134</v>
      </c>
      <c r="F185" s="13">
        <v>2.0</v>
      </c>
      <c r="G185" s="31" t="s">
        <v>24</v>
      </c>
      <c r="H185" s="13">
        <v>0.0</v>
      </c>
      <c r="I185" s="17" t="s">
        <v>63</v>
      </c>
      <c r="J185" s="148"/>
      <c r="K185" s="149">
        <f t="shared" si="17"/>
        <v>3</v>
      </c>
      <c r="L185" s="150">
        <f t="shared" si="18"/>
        <v>0</v>
      </c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AG185" s="3"/>
      <c r="AH185" s="3"/>
      <c r="AI185" s="3"/>
    </row>
    <row r="186" ht="15.75" customHeight="1">
      <c r="A186" s="25"/>
      <c r="B186" s="11">
        <v>46089.0</v>
      </c>
      <c r="C186" s="12" t="s">
        <v>162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48"/>
      <c r="K186" s="149">
        <f t="shared" si="17"/>
        <v>3</v>
      </c>
      <c r="L186" s="150">
        <f t="shared" si="18"/>
        <v>0</v>
      </c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AG186" s="3"/>
      <c r="AH186" s="3"/>
      <c r="AI186" s="3"/>
    </row>
    <row r="187" ht="15.75" customHeight="1">
      <c r="A187" s="29"/>
      <c r="B187" s="162"/>
      <c r="C187" s="164"/>
      <c r="D187" s="164"/>
      <c r="E187" s="17">
        <v>0.0</v>
      </c>
      <c r="F187" s="31"/>
      <c r="G187" s="31" t="s">
        <v>24</v>
      </c>
      <c r="H187" s="31"/>
      <c r="I187" s="17" t="s">
        <v>219</v>
      </c>
      <c r="J187" s="148"/>
      <c r="K187" s="149" t="str">
        <f t="shared" si="17"/>
        <v/>
      </c>
      <c r="L187" s="150" t="str">
        <f t="shared" si="18"/>
        <v/>
      </c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AG187" s="3"/>
      <c r="AH187" s="3"/>
      <c r="AI187" s="3"/>
    </row>
    <row r="188" ht="15.75" customHeight="1">
      <c r="A188" s="65">
        <v>8.0</v>
      </c>
      <c r="B188" s="162"/>
      <c r="C188" s="163"/>
      <c r="D188" s="164"/>
      <c r="E188" s="17" t="s">
        <v>117</v>
      </c>
      <c r="F188" s="31"/>
      <c r="G188" s="31" t="s">
        <v>24</v>
      </c>
      <c r="H188" s="31"/>
      <c r="I188" s="17">
        <v>0.0</v>
      </c>
      <c r="J188" s="148"/>
      <c r="K188" s="149" t="str">
        <f t="shared" si="17"/>
        <v/>
      </c>
      <c r="L188" s="150" t="str">
        <f t="shared" si="18"/>
        <v/>
      </c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AG188" s="3"/>
      <c r="AH188" s="3"/>
      <c r="AI188" s="3"/>
    </row>
    <row r="189" ht="15.75" customHeight="1">
      <c r="A189" s="25"/>
      <c r="B189" s="11">
        <v>46089.0</v>
      </c>
      <c r="C189" s="12" t="s">
        <v>162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48"/>
      <c r="K189" s="149">
        <f t="shared" si="17"/>
        <v>3</v>
      </c>
      <c r="L189" s="150">
        <f t="shared" si="18"/>
        <v>0</v>
      </c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162</v>
      </c>
      <c r="D190" s="12" t="s">
        <v>22</v>
      </c>
      <c r="E190" s="17" t="s">
        <v>169</v>
      </c>
      <c r="F190" s="13">
        <v>2.0</v>
      </c>
      <c r="G190" s="31" t="s">
        <v>24</v>
      </c>
      <c r="H190" s="13">
        <v>0.0</v>
      </c>
      <c r="I190" s="17" t="s">
        <v>39</v>
      </c>
      <c r="J190" s="148"/>
      <c r="K190" s="149">
        <f t="shared" si="17"/>
        <v>3</v>
      </c>
      <c r="L190" s="150">
        <f t="shared" si="18"/>
        <v>0</v>
      </c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AA190" s="3"/>
      <c r="AB190" s="147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48"/>
      <c r="K191" s="149">
        <f t="shared" si="17"/>
        <v>0</v>
      </c>
      <c r="L191" s="150">
        <f t="shared" si="18"/>
        <v>3</v>
      </c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AA191" s="3"/>
      <c r="AB191" s="147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134</v>
      </c>
      <c r="J192" s="148"/>
      <c r="K192" s="149">
        <f t="shared" si="17"/>
        <v>0</v>
      </c>
      <c r="L192" s="150">
        <f t="shared" si="18"/>
        <v>3</v>
      </c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AA192" s="3"/>
      <c r="AB192" s="147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1">
        <v>46148.0</v>
      </c>
      <c r="C193" s="66" t="s">
        <v>114</v>
      </c>
      <c r="D193" s="66" t="s">
        <v>22</v>
      </c>
      <c r="E193" s="17" t="s">
        <v>219</v>
      </c>
      <c r="F193" s="13">
        <v>0.0</v>
      </c>
      <c r="G193" s="31" t="s">
        <v>24</v>
      </c>
      <c r="H193" s="13">
        <v>2.0</v>
      </c>
      <c r="I193" s="17" t="s">
        <v>45</v>
      </c>
      <c r="J193" s="148"/>
      <c r="K193" s="149">
        <f t="shared" si="17"/>
        <v>0</v>
      </c>
      <c r="L193" s="150">
        <f t="shared" si="18"/>
        <v>3</v>
      </c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AA193" s="3"/>
      <c r="AB193" s="147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117</v>
      </c>
      <c r="F194" s="13">
        <v>0.0</v>
      </c>
      <c r="G194" s="31" t="s">
        <v>24</v>
      </c>
      <c r="H194" s="13">
        <v>2.0</v>
      </c>
      <c r="I194" s="17" t="s">
        <v>33</v>
      </c>
      <c r="J194" s="148"/>
      <c r="K194" s="149">
        <f t="shared" si="17"/>
        <v>0</v>
      </c>
      <c r="L194" s="150">
        <f t="shared" si="18"/>
        <v>3</v>
      </c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AA194" s="3"/>
      <c r="AB194" s="147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169</v>
      </c>
      <c r="J195" s="148"/>
      <c r="K195" s="149">
        <f t="shared" si="17"/>
        <v>0</v>
      </c>
      <c r="L195" s="150">
        <f t="shared" si="18"/>
        <v>3</v>
      </c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AA195" s="3"/>
      <c r="AB195" s="147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39</v>
      </c>
      <c r="F196" s="13">
        <v>2.0</v>
      </c>
      <c r="G196" s="31" t="s">
        <v>24</v>
      </c>
      <c r="H196" s="13">
        <v>0.0</v>
      </c>
      <c r="I196" s="17" t="s">
        <v>63</v>
      </c>
      <c r="J196" s="148"/>
      <c r="K196" s="149">
        <f t="shared" si="17"/>
        <v>3</v>
      </c>
      <c r="L196" s="150">
        <f t="shared" si="18"/>
        <v>0</v>
      </c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AA196" s="3"/>
      <c r="AB196" s="147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48"/>
      <c r="K197" s="149">
        <f t="shared" si="17"/>
        <v>3</v>
      </c>
      <c r="L197" s="150">
        <f t="shared" si="18"/>
        <v>0</v>
      </c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AA197" s="3"/>
      <c r="AB197" s="147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134</v>
      </c>
      <c r="F198" s="13">
        <v>0.0</v>
      </c>
      <c r="G198" s="31" t="s">
        <v>24</v>
      </c>
      <c r="H198" s="13">
        <v>2.0</v>
      </c>
      <c r="I198" s="17" t="s">
        <v>219</v>
      </c>
      <c r="J198" s="148"/>
      <c r="K198" s="149">
        <f t="shared" si="17"/>
        <v>0</v>
      </c>
      <c r="L198" s="150">
        <f t="shared" si="18"/>
        <v>3</v>
      </c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AA198" s="3"/>
      <c r="AB198" s="147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2"/>
      <c r="C199" s="164"/>
      <c r="D199" s="164"/>
      <c r="E199" s="17">
        <v>0.0</v>
      </c>
      <c r="F199" s="31"/>
      <c r="G199" s="31" t="s">
        <v>24</v>
      </c>
      <c r="H199" s="31"/>
      <c r="I199" s="17" t="s">
        <v>45</v>
      </c>
      <c r="J199" s="148"/>
      <c r="K199" s="149" t="str">
        <f t="shared" si="17"/>
        <v/>
      </c>
      <c r="L199" s="150" t="str">
        <f t="shared" si="18"/>
        <v/>
      </c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AA199" s="3"/>
      <c r="AB199" s="147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62"/>
      <c r="C200" s="163"/>
      <c r="D200" s="164"/>
      <c r="E200" s="17">
        <v>0.0</v>
      </c>
      <c r="F200" s="31"/>
      <c r="G200" s="31" t="s">
        <v>24</v>
      </c>
      <c r="H200" s="31"/>
      <c r="I200" s="17" t="s">
        <v>33</v>
      </c>
      <c r="J200" s="148"/>
      <c r="K200" s="149" t="str">
        <f t="shared" si="17"/>
        <v/>
      </c>
      <c r="L200" s="150" t="str">
        <f t="shared" si="18"/>
        <v/>
      </c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AA200" s="3"/>
      <c r="AB200" s="147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169</v>
      </c>
      <c r="F201" s="13">
        <v>2.0</v>
      </c>
      <c r="G201" s="31" t="s">
        <v>24</v>
      </c>
      <c r="H201" s="13">
        <v>1.0</v>
      </c>
      <c r="I201" s="17" t="s">
        <v>117</v>
      </c>
      <c r="J201" s="148"/>
      <c r="K201" s="149">
        <f t="shared" si="17"/>
        <v>2</v>
      </c>
      <c r="L201" s="150">
        <f t="shared" si="18"/>
        <v>1</v>
      </c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AA201" s="3"/>
      <c r="AB201" s="147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48"/>
      <c r="K202" s="149">
        <f t="shared" si="17"/>
        <v>0</v>
      </c>
      <c r="L202" s="150">
        <f t="shared" si="18"/>
        <v>3</v>
      </c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AA202" s="3"/>
      <c r="AB202" s="147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35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39</v>
      </c>
      <c r="J203" s="148"/>
      <c r="K203" s="149">
        <f t="shared" si="17"/>
        <v>3</v>
      </c>
      <c r="L203" s="150">
        <f t="shared" si="18"/>
        <v>0</v>
      </c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AA203" s="3"/>
      <c r="AB203" s="147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35</v>
      </c>
      <c r="D204" s="12" t="s">
        <v>22</v>
      </c>
      <c r="E204" s="17" t="s">
        <v>219</v>
      </c>
      <c r="F204" s="13">
        <v>0.0</v>
      </c>
      <c r="G204" s="31" t="s">
        <v>24</v>
      </c>
      <c r="H204" s="13">
        <v>2.0</v>
      </c>
      <c r="I204" s="17" t="s">
        <v>60</v>
      </c>
      <c r="J204" s="148"/>
      <c r="K204" s="149">
        <f t="shared" si="17"/>
        <v>0</v>
      </c>
      <c r="L204" s="150">
        <f t="shared" si="18"/>
        <v>3</v>
      </c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AA204" s="3"/>
      <c r="AB204" s="147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35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134</v>
      </c>
      <c r="J205" s="148"/>
      <c r="K205" s="149">
        <f t="shared" si="17"/>
        <v>3</v>
      </c>
      <c r="L205" s="150">
        <f t="shared" si="18"/>
        <v>0</v>
      </c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AA205" s="3"/>
      <c r="AB205" s="147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1">
        <v>46148.0</v>
      </c>
      <c r="C206" s="66" t="s">
        <v>114</v>
      </c>
      <c r="D206" s="12" t="s">
        <v>22</v>
      </c>
      <c r="E206" s="17" t="s">
        <v>33</v>
      </c>
      <c r="F206" s="13">
        <v>2.0</v>
      </c>
      <c r="G206" s="31" t="s">
        <v>24</v>
      </c>
      <c r="H206" s="13">
        <v>1.0</v>
      </c>
      <c r="I206" s="17" t="s">
        <v>169</v>
      </c>
      <c r="J206" s="148"/>
      <c r="K206" s="149">
        <f t="shared" si="17"/>
        <v>2</v>
      </c>
      <c r="L206" s="150">
        <f t="shared" si="18"/>
        <v>1</v>
      </c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AA206" s="3"/>
      <c r="AB206" s="147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6" t="s">
        <v>114</v>
      </c>
      <c r="D207" s="12" t="s">
        <v>22</v>
      </c>
      <c r="E207" s="17" t="s">
        <v>117</v>
      </c>
      <c r="F207" s="13">
        <v>2.0</v>
      </c>
      <c r="G207" s="31" t="s">
        <v>24</v>
      </c>
      <c r="H207" s="13">
        <v>0.0</v>
      </c>
      <c r="I207" s="17" t="s">
        <v>63</v>
      </c>
      <c r="J207" s="148"/>
      <c r="K207" s="149">
        <f t="shared" si="17"/>
        <v>3</v>
      </c>
      <c r="L207" s="150">
        <f t="shared" si="18"/>
        <v>0</v>
      </c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AA207" s="3"/>
      <c r="AB207" s="147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6" t="s">
        <v>114</v>
      </c>
      <c r="D208" s="12" t="s">
        <v>22</v>
      </c>
      <c r="E208" s="17" t="s">
        <v>65</v>
      </c>
      <c r="F208" s="13">
        <v>0.0</v>
      </c>
      <c r="G208" s="31" t="s">
        <v>24</v>
      </c>
      <c r="H208" s="13">
        <v>2.0</v>
      </c>
      <c r="I208" s="17" t="s">
        <v>59</v>
      </c>
      <c r="J208" s="148"/>
      <c r="K208" s="149">
        <f t="shared" si="17"/>
        <v>0</v>
      </c>
      <c r="L208" s="150">
        <f t="shared" si="18"/>
        <v>3</v>
      </c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AA208" s="3"/>
      <c r="AB208" s="147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6" t="s">
        <v>126</v>
      </c>
      <c r="D209" s="12" t="s">
        <v>22</v>
      </c>
      <c r="E209" s="17" t="s">
        <v>39</v>
      </c>
      <c r="F209" s="13">
        <v>0.0</v>
      </c>
      <c r="G209" s="31" t="s">
        <v>24</v>
      </c>
      <c r="H209" s="13">
        <v>2.0</v>
      </c>
      <c r="I209" s="17" t="s">
        <v>219</v>
      </c>
      <c r="J209" s="148"/>
      <c r="K209" s="149">
        <f t="shared" si="17"/>
        <v>0</v>
      </c>
      <c r="L209" s="150">
        <f t="shared" si="18"/>
        <v>3</v>
      </c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AA209" s="3"/>
      <c r="AB209" s="147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6" t="s">
        <v>126</v>
      </c>
      <c r="D210" s="12" t="s">
        <v>22</v>
      </c>
      <c r="E210" s="17" t="s">
        <v>60</v>
      </c>
      <c r="F210" s="13">
        <v>2.0</v>
      </c>
      <c r="G210" s="31" t="s">
        <v>24</v>
      </c>
      <c r="H210" s="13">
        <v>0.0</v>
      </c>
      <c r="I210" s="17" t="s">
        <v>45</v>
      </c>
      <c r="J210" s="148"/>
      <c r="K210" s="149">
        <f t="shared" si="17"/>
        <v>3</v>
      </c>
      <c r="L210" s="150">
        <f t="shared" si="18"/>
        <v>0</v>
      </c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AA210" s="3"/>
      <c r="AB210" s="147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2"/>
      <c r="C211" s="164"/>
      <c r="D211" s="164"/>
      <c r="E211" s="17" t="s">
        <v>134</v>
      </c>
      <c r="F211" s="31"/>
      <c r="G211" s="31" t="s">
        <v>24</v>
      </c>
      <c r="H211" s="31"/>
      <c r="I211" s="17">
        <v>0.0</v>
      </c>
      <c r="J211" s="148"/>
      <c r="K211" s="149" t="str">
        <f t="shared" si="17"/>
        <v/>
      </c>
      <c r="L211" s="150" t="str">
        <f t="shared" si="18"/>
        <v/>
      </c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AA211" s="3"/>
      <c r="AB211" s="147"/>
      <c r="AC211" s="3"/>
      <c r="AD211" s="3"/>
      <c r="AE211" s="3"/>
      <c r="AF211" s="3"/>
      <c r="AG211" s="3"/>
      <c r="AH211" s="3"/>
      <c r="AI211" s="3"/>
    </row>
    <row r="212" ht="15.75" customHeight="1">
      <c r="A212" s="172"/>
      <c r="E212" s="147"/>
      <c r="I212" s="147"/>
      <c r="AA212" s="3"/>
      <c r="AB212" s="147"/>
      <c r="AC212" s="3"/>
      <c r="AD212" s="3"/>
      <c r="AE212" s="3"/>
      <c r="AF212" s="3"/>
      <c r="AG212" s="3"/>
      <c r="AH212" s="3"/>
      <c r="AI212" s="3"/>
    </row>
    <row r="213" ht="15.75" customHeight="1">
      <c r="A213" s="172"/>
      <c r="E213" s="147"/>
      <c r="I213" s="147"/>
      <c r="AA213" s="3"/>
      <c r="AB213" s="147"/>
      <c r="AC213" s="3"/>
      <c r="AD213" s="3"/>
      <c r="AE213" s="3"/>
      <c r="AF213" s="3"/>
      <c r="AG213" s="3"/>
      <c r="AH213" s="3"/>
      <c r="AI213" s="3"/>
    </row>
    <row r="214" ht="15.75" customHeight="1">
      <c r="A214" s="172"/>
      <c r="E214" s="147"/>
      <c r="I214" s="147"/>
      <c r="AA214" s="3"/>
      <c r="AB214" s="147"/>
      <c r="AC214" s="3"/>
      <c r="AD214" s="3"/>
      <c r="AE214" s="3"/>
      <c r="AF214" s="3"/>
      <c r="AG214" s="3"/>
      <c r="AH214" s="3"/>
      <c r="AI214" s="3"/>
    </row>
    <row r="215" ht="15.75" customHeight="1">
      <c r="A215" s="172"/>
      <c r="E215" s="147"/>
      <c r="I215" s="147"/>
      <c r="AA215" s="3"/>
      <c r="AB215" s="147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222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3" t="s">
        <v>210</v>
      </c>
      <c r="U217" s="173" t="s">
        <v>211</v>
      </c>
      <c r="V217" s="173" t="s">
        <v>212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1" t="s">
        <v>210</v>
      </c>
      <c r="AH217" s="121" t="s">
        <v>211</v>
      </c>
      <c r="AI217" s="121" t="s">
        <v>212</v>
      </c>
    </row>
    <row r="218" ht="15.75" customHeight="1">
      <c r="A218" s="102">
        <v>1.0</v>
      </c>
      <c r="B218" s="43"/>
      <c r="C218" s="12"/>
      <c r="D218" s="12"/>
      <c r="E218" s="44" t="s">
        <v>31</v>
      </c>
      <c r="F218" s="13"/>
      <c r="G218" s="16" t="s">
        <v>24</v>
      </c>
      <c r="H218" s="13"/>
      <c r="I218" s="44" t="s">
        <v>68</v>
      </c>
      <c r="J218" s="4"/>
      <c r="K218" s="149" t="str">
        <f t="shared" ref="K218:K220" si="25">IFS(F218=H218+2,3,F218=H218-2,0,F218=H218+1,2,F218=H218-1,1,F218="","")</f>
        <v/>
      </c>
      <c r="L218" s="150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31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Eng. Civil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102">
        <v>2.0</v>
      </c>
      <c r="B219" s="43"/>
      <c r="C219" s="12"/>
      <c r="D219" s="12"/>
      <c r="E219" s="44" t="s">
        <v>68</v>
      </c>
      <c r="F219" s="13"/>
      <c r="G219" s="16" t="s">
        <v>24</v>
      </c>
      <c r="H219" s="13"/>
      <c r="I219" s="44" t="s">
        <v>45</v>
      </c>
      <c r="J219" s="4"/>
      <c r="K219" s="149" t="str">
        <f t="shared" si="25"/>
        <v/>
      </c>
      <c r="L219" s="150" t="str">
        <f t="shared" si="26"/>
        <v/>
      </c>
      <c r="M219" s="4"/>
      <c r="N219" s="18">
        <v>2.0</v>
      </c>
      <c r="O219" s="77" t="s">
        <v>68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68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102">
        <v>3.0</v>
      </c>
      <c r="B220" s="43"/>
      <c r="C220" s="12"/>
      <c r="D220" s="12"/>
      <c r="E220" s="44" t="s">
        <v>45</v>
      </c>
      <c r="F220" s="13"/>
      <c r="G220" s="16" t="s">
        <v>24</v>
      </c>
      <c r="H220" s="13"/>
      <c r="I220" s="44" t="s">
        <v>31</v>
      </c>
      <c r="J220" s="4"/>
      <c r="K220" s="149" t="str">
        <f t="shared" si="25"/>
        <v/>
      </c>
      <c r="L220" s="150" t="str">
        <f t="shared" si="26"/>
        <v/>
      </c>
      <c r="M220" s="4"/>
      <c r="N220" s="18">
        <v>3.0</v>
      </c>
      <c r="O220" s="77" t="s">
        <v>45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4</v>
      </c>
      <c r="V220" s="18">
        <f t="shared" si="32"/>
        <v>-4</v>
      </c>
      <c r="W220" s="63"/>
      <c r="X220" s="63"/>
      <c r="Y220" s="63"/>
      <c r="Z220" s="63"/>
      <c r="AA220" s="22">
        <v>3.0</v>
      </c>
      <c r="AB220" s="70" t="s">
        <v>45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4.0</v>
      </c>
      <c r="AI220" s="23">
        <v>-4.0</v>
      </c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223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3">
        <v>46155.0</v>
      </c>
      <c r="C227" s="12" t="s">
        <v>51</v>
      </c>
      <c r="D227" s="12" t="s">
        <v>22</v>
      </c>
      <c r="E227" s="44" t="s">
        <v>25</v>
      </c>
      <c r="F227" s="31"/>
      <c r="G227" s="16" t="s">
        <v>24</v>
      </c>
      <c r="H227" s="31"/>
      <c r="I227" s="44" t="s">
        <v>60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3">
        <v>46155.0</v>
      </c>
      <c r="C228" s="12" t="s">
        <v>51</v>
      </c>
      <c r="D228" s="12" t="s">
        <v>22</v>
      </c>
      <c r="E228" s="44" t="s">
        <v>23</v>
      </c>
      <c r="F228" s="31"/>
      <c r="G228" s="16" t="s">
        <v>24</v>
      </c>
      <c r="H228" s="31"/>
      <c r="I228" s="44" t="s">
        <v>183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3">
        <v>46155.0</v>
      </c>
      <c r="C229" s="12" t="s">
        <v>51</v>
      </c>
      <c r="D229" s="12" t="s">
        <v>22</v>
      </c>
      <c r="E229" s="44" t="s">
        <v>36</v>
      </c>
      <c r="F229" s="31"/>
      <c r="G229" s="16" t="s">
        <v>24</v>
      </c>
      <c r="H229" s="31"/>
      <c r="I229" s="44" t="s">
        <v>43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162</v>
      </c>
      <c r="D230" s="12" t="s">
        <v>22</v>
      </c>
      <c r="E230" s="44" t="s">
        <v>61</v>
      </c>
      <c r="F230" s="31"/>
      <c r="G230" s="16" t="s">
        <v>24</v>
      </c>
      <c r="H230" s="31"/>
      <c r="I230" s="44" t="s">
        <v>155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81</v>
      </c>
      <c r="B231" s="43"/>
      <c r="C231" s="12"/>
      <c r="D231" s="12"/>
      <c r="E231" s="44" t="s">
        <v>82</v>
      </c>
      <c r="F231" s="31"/>
      <c r="G231" s="16" t="s">
        <v>24</v>
      </c>
      <c r="H231" s="31"/>
      <c r="I231" s="44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6"/>
      <c r="C232" s="31"/>
      <c r="D232" s="12"/>
      <c r="E232" s="51" t="s">
        <v>84</v>
      </c>
      <c r="F232" s="13"/>
      <c r="G232" s="16" t="s">
        <v>24</v>
      </c>
      <c r="H232" s="13"/>
      <c r="I232" s="44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86</v>
      </c>
      <c r="B233" s="30"/>
      <c r="C233" s="31"/>
      <c r="D233" s="12"/>
      <c r="E233" s="44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89</v>
      </c>
      <c r="B234" s="30"/>
      <c r="C234" s="31"/>
      <c r="D234" s="12"/>
      <c r="E234" s="44" t="s">
        <v>90</v>
      </c>
      <c r="F234" s="31"/>
      <c r="G234" s="16" t="s">
        <v>24</v>
      </c>
      <c r="H234" s="31"/>
      <c r="I234" s="44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72"/>
      <c r="E236" s="147"/>
      <c r="I236" s="147"/>
      <c r="AA236" s="3"/>
      <c r="AB236" s="147"/>
      <c r="AC236" s="3"/>
      <c r="AD236" s="3"/>
      <c r="AE236" s="3"/>
      <c r="AF236" s="3"/>
      <c r="AG236" s="3"/>
      <c r="AH236" s="3"/>
      <c r="AI236" s="3"/>
    </row>
    <row r="237" ht="15.75" customHeight="1">
      <c r="A237" s="172"/>
      <c r="E237" s="147"/>
      <c r="I237" s="147"/>
      <c r="AA237" s="3"/>
      <c r="AB237" s="147"/>
      <c r="AC237" s="3"/>
      <c r="AD237" s="3"/>
      <c r="AE237" s="3"/>
      <c r="AF237" s="3"/>
      <c r="AG237" s="3"/>
      <c r="AH237" s="3"/>
      <c r="AI237" s="3"/>
    </row>
    <row r="238" ht="15.75" customHeight="1">
      <c r="A238" s="172"/>
      <c r="E238" s="147"/>
      <c r="I238" s="147"/>
      <c r="AA238" s="3"/>
      <c r="AB238" s="147"/>
      <c r="AC238" s="3"/>
      <c r="AD238" s="3"/>
      <c r="AE238" s="3"/>
      <c r="AF238" s="3"/>
      <c r="AG238" s="3"/>
      <c r="AH238" s="3"/>
      <c r="AI238" s="3"/>
    </row>
    <row r="239" ht="15.75" customHeight="1">
      <c r="A239" s="172"/>
      <c r="E239" s="147"/>
      <c r="I239" s="147"/>
      <c r="AA239" s="3"/>
      <c r="AB239" s="147"/>
      <c r="AC239" s="3"/>
      <c r="AD239" s="3"/>
      <c r="AE239" s="3"/>
      <c r="AF239" s="3"/>
      <c r="AG239" s="3"/>
      <c r="AH239" s="3"/>
      <c r="AI239" s="3"/>
    </row>
    <row r="240" ht="15.75" customHeight="1">
      <c r="A240" s="172"/>
      <c r="E240" s="147"/>
      <c r="I240" s="147"/>
      <c r="AA240" s="3"/>
      <c r="AB240" s="147"/>
      <c r="AC240" s="3"/>
      <c r="AD240" s="3"/>
      <c r="AE240" s="3"/>
      <c r="AF240" s="3"/>
      <c r="AG240" s="3"/>
      <c r="AH240" s="3"/>
      <c r="AI240" s="3"/>
    </row>
    <row r="241" ht="15.75" customHeight="1">
      <c r="A241" s="172"/>
      <c r="E241" s="147"/>
      <c r="I241" s="147"/>
      <c r="AA241" s="3"/>
      <c r="AB241" s="147"/>
      <c r="AC241" s="3"/>
      <c r="AD241" s="3"/>
      <c r="AE241" s="3"/>
      <c r="AF241" s="3"/>
      <c r="AG241" s="3"/>
      <c r="AH241" s="3"/>
      <c r="AI241" s="3"/>
    </row>
    <row r="242" ht="15.75" customHeight="1">
      <c r="A242" s="172"/>
      <c r="E242" s="147"/>
      <c r="I242" s="147"/>
      <c r="AA242" s="3"/>
      <c r="AB242" s="147"/>
      <c r="AC242" s="3"/>
      <c r="AD242" s="3"/>
      <c r="AE242" s="3"/>
      <c r="AF242" s="3"/>
      <c r="AG242" s="3"/>
      <c r="AH242" s="3"/>
      <c r="AI242" s="3"/>
    </row>
    <row r="243" ht="15.75" customHeight="1">
      <c r="A243" s="172"/>
      <c r="E243" s="147"/>
      <c r="I243" s="147"/>
      <c r="AA243" s="3"/>
      <c r="AB243" s="147"/>
      <c r="AC243" s="3"/>
      <c r="AD243" s="3"/>
      <c r="AE243" s="3"/>
      <c r="AF243" s="3"/>
      <c r="AG243" s="3"/>
      <c r="AH243" s="3"/>
      <c r="AI243" s="3"/>
    </row>
    <row r="244" ht="15.75" customHeight="1">
      <c r="A244" s="172"/>
      <c r="E244" s="147"/>
      <c r="I244" s="147"/>
      <c r="AA244" s="3"/>
      <c r="AB244" s="147"/>
      <c r="AC244" s="3"/>
      <c r="AD244" s="3"/>
      <c r="AE244" s="3"/>
      <c r="AF244" s="3"/>
      <c r="AG244" s="3"/>
      <c r="AH244" s="3"/>
      <c r="AI244" s="3"/>
    </row>
    <row r="245" ht="15.75" customHeight="1">
      <c r="A245" s="172"/>
      <c r="E245" s="147"/>
      <c r="I245" s="147"/>
      <c r="AA245" s="3"/>
      <c r="AB245" s="147"/>
      <c r="AC245" s="3"/>
      <c r="AD245" s="3"/>
      <c r="AE245" s="3"/>
      <c r="AF245" s="3"/>
      <c r="AG245" s="3"/>
      <c r="AH245" s="3"/>
      <c r="AI245" s="3"/>
    </row>
    <row r="246" ht="15.75" customHeight="1">
      <c r="A246" s="172"/>
      <c r="E246" s="147"/>
      <c r="I246" s="147"/>
      <c r="AA246" s="3"/>
      <c r="AB246" s="147"/>
      <c r="AC246" s="3"/>
      <c r="AD246" s="3"/>
      <c r="AE246" s="3"/>
      <c r="AF246" s="3"/>
      <c r="AG246" s="3"/>
      <c r="AH246" s="3"/>
      <c r="AI246" s="3"/>
    </row>
    <row r="247" ht="15.75" customHeight="1">
      <c r="A247" s="172"/>
      <c r="E247" s="147"/>
      <c r="I247" s="147"/>
      <c r="AA247" s="3"/>
      <c r="AB247" s="147"/>
      <c r="AC247" s="3"/>
      <c r="AD247" s="3"/>
      <c r="AE247" s="3"/>
      <c r="AF247" s="3"/>
      <c r="AG247" s="3"/>
      <c r="AH247" s="3"/>
      <c r="AI247" s="3"/>
    </row>
    <row r="248" ht="15.75" customHeight="1">
      <c r="A248" s="172"/>
      <c r="E248" s="147"/>
      <c r="I248" s="147"/>
      <c r="AA248" s="3"/>
      <c r="AB248" s="147"/>
      <c r="AC248" s="3"/>
      <c r="AD248" s="3"/>
      <c r="AE248" s="3"/>
      <c r="AF248" s="3"/>
      <c r="AG248" s="3"/>
      <c r="AH248" s="3"/>
      <c r="AI248" s="3"/>
    </row>
    <row r="249" ht="15.75" customHeight="1">
      <c r="A249" s="172"/>
      <c r="E249" s="147"/>
      <c r="I249" s="147"/>
      <c r="AA249" s="3"/>
      <c r="AB249" s="147"/>
      <c r="AC249" s="3"/>
      <c r="AD249" s="3"/>
      <c r="AE249" s="3"/>
      <c r="AF249" s="3"/>
      <c r="AG249" s="3"/>
      <c r="AH249" s="3"/>
      <c r="AI249" s="3"/>
    </row>
    <row r="250" ht="15.75" customHeight="1">
      <c r="A250" s="172"/>
      <c r="E250" s="147"/>
      <c r="I250" s="147"/>
      <c r="AA250" s="3"/>
      <c r="AB250" s="147"/>
      <c r="AC250" s="3"/>
      <c r="AD250" s="3"/>
      <c r="AE250" s="3"/>
      <c r="AF250" s="3"/>
      <c r="AG250" s="3"/>
      <c r="AH250" s="3"/>
      <c r="AI250" s="3"/>
    </row>
    <row r="251" ht="15.75" customHeight="1">
      <c r="A251" s="172"/>
      <c r="E251" s="147"/>
      <c r="I251" s="147"/>
      <c r="AA251" s="3"/>
      <c r="AB251" s="147"/>
      <c r="AC251" s="3"/>
      <c r="AD251" s="3"/>
      <c r="AE251" s="3"/>
      <c r="AF251" s="3"/>
      <c r="AG251" s="3"/>
      <c r="AH251" s="3"/>
      <c r="AI251" s="3"/>
    </row>
    <row r="252" ht="15.75" customHeight="1">
      <c r="A252" s="172"/>
      <c r="E252" s="147"/>
      <c r="I252" s="147"/>
      <c r="AA252" s="3"/>
      <c r="AB252" s="147"/>
      <c r="AC252" s="3"/>
      <c r="AD252" s="3"/>
      <c r="AE252" s="3"/>
      <c r="AF252" s="3"/>
      <c r="AG252" s="3"/>
      <c r="AH252" s="3"/>
      <c r="AI252" s="3"/>
    </row>
    <row r="253" ht="15.75" customHeight="1">
      <c r="A253" s="172"/>
      <c r="E253" s="147"/>
      <c r="I253" s="147"/>
      <c r="AA253" s="3"/>
      <c r="AB253" s="147"/>
      <c r="AC253" s="3"/>
      <c r="AD253" s="3"/>
      <c r="AE253" s="3"/>
      <c r="AF253" s="3"/>
      <c r="AG253" s="3"/>
      <c r="AH253" s="3"/>
      <c r="AI253" s="3"/>
    </row>
    <row r="254" ht="15.75" customHeight="1">
      <c r="A254" s="172"/>
      <c r="E254" s="147"/>
      <c r="I254" s="147"/>
      <c r="AA254" s="3"/>
      <c r="AB254" s="147"/>
      <c r="AC254" s="3"/>
      <c r="AD254" s="3"/>
      <c r="AE254" s="3"/>
      <c r="AF254" s="3"/>
      <c r="AG254" s="3"/>
      <c r="AH254" s="3"/>
      <c r="AI254" s="3"/>
    </row>
    <row r="255" ht="15.75" customHeight="1">
      <c r="A255" s="172"/>
      <c r="E255" s="147"/>
      <c r="I255" s="147"/>
      <c r="AA255" s="3"/>
      <c r="AB255" s="147"/>
      <c r="AC255" s="3"/>
      <c r="AD255" s="3"/>
      <c r="AE255" s="3"/>
      <c r="AF255" s="3"/>
      <c r="AG255" s="3"/>
      <c r="AH255" s="3"/>
      <c r="AI255" s="3"/>
    </row>
    <row r="256" ht="15.75" customHeight="1">
      <c r="A256" s="172"/>
      <c r="E256" s="147"/>
      <c r="I256" s="147"/>
      <c r="AA256" s="3"/>
      <c r="AB256" s="147"/>
      <c r="AC256" s="3"/>
      <c r="AD256" s="3"/>
      <c r="AE256" s="3"/>
      <c r="AF256" s="3"/>
      <c r="AG256" s="3"/>
      <c r="AH256" s="3"/>
      <c r="AI256" s="3"/>
    </row>
    <row r="257" ht="15.75" customHeight="1">
      <c r="A257" s="172"/>
      <c r="E257" s="147"/>
      <c r="I257" s="147"/>
      <c r="AA257" s="3"/>
      <c r="AB257" s="147"/>
      <c r="AC257" s="3"/>
      <c r="AD257" s="3"/>
      <c r="AE257" s="3"/>
      <c r="AF257" s="3"/>
      <c r="AG257" s="3"/>
      <c r="AH257" s="3"/>
      <c r="AI257" s="3"/>
    </row>
    <row r="258" ht="15.75" customHeight="1">
      <c r="A258" s="172"/>
      <c r="E258" s="147"/>
      <c r="I258" s="147"/>
      <c r="AA258" s="3"/>
      <c r="AB258" s="147"/>
      <c r="AC258" s="3"/>
      <c r="AD258" s="3"/>
      <c r="AE258" s="3"/>
      <c r="AF258" s="3"/>
      <c r="AG258" s="3"/>
      <c r="AH258" s="3"/>
      <c r="AI258" s="3"/>
    </row>
    <row r="259" ht="15.75" customHeight="1">
      <c r="A259" s="172"/>
      <c r="E259" s="147"/>
      <c r="I259" s="147"/>
      <c r="AA259" s="3"/>
      <c r="AB259" s="147"/>
      <c r="AC259" s="3"/>
      <c r="AD259" s="3"/>
      <c r="AE259" s="3"/>
      <c r="AF259" s="3"/>
      <c r="AG259" s="3"/>
      <c r="AH259" s="3"/>
      <c r="AI259" s="3"/>
    </row>
    <row r="260" ht="15.75" customHeight="1">
      <c r="A260" s="172"/>
      <c r="E260" s="147"/>
      <c r="I260" s="147"/>
      <c r="AA260" s="3"/>
      <c r="AB260" s="147"/>
      <c r="AC260" s="3"/>
      <c r="AD260" s="3"/>
      <c r="AE260" s="3"/>
      <c r="AF260" s="3"/>
      <c r="AG260" s="3"/>
      <c r="AH260" s="3"/>
      <c r="AI260" s="3"/>
    </row>
    <row r="261" ht="15.75" customHeight="1">
      <c r="A261" s="172"/>
      <c r="E261" s="147"/>
      <c r="I261" s="147"/>
      <c r="AA261" s="3"/>
      <c r="AB261" s="147"/>
      <c r="AC261" s="3"/>
      <c r="AD261" s="3"/>
      <c r="AE261" s="3"/>
      <c r="AF261" s="3"/>
      <c r="AG261" s="3"/>
      <c r="AH261" s="3"/>
      <c r="AI261" s="3"/>
    </row>
    <row r="262" ht="15.75" customHeight="1">
      <c r="A262" s="172"/>
      <c r="E262" s="147"/>
      <c r="I262" s="147"/>
      <c r="AA262" s="3"/>
      <c r="AB262" s="147"/>
      <c r="AC262" s="3"/>
      <c r="AD262" s="3"/>
      <c r="AE262" s="3"/>
      <c r="AF262" s="3"/>
      <c r="AG262" s="3"/>
      <c r="AH262" s="3"/>
      <c r="AI262" s="3"/>
    </row>
    <row r="263" ht="15.75" customHeight="1">
      <c r="A263" s="172"/>
      <c r="E263" s="147"/>
      <c r="I263" s="147"/>
      <c r="AA263" s="3"/>
      <c r="AB263" s="147"/>
      <c r="AC263" s="3"/>
      <c r="AD263" s="3"/>
      <c r="AE263" s="3"/>
      <c r="AF263" s="3"/>
      <c r="AG263" s="3"/>
      <c r="AH263" s="3"/>
      <c r="AI263" s="3"/>
    </row>
    <row r="264" ht="15.75" customHeight="1">
      <c r="A264" s="172"/>
      <c r="E264" s="147"/>
      <c r="I264" s="147"/>
      <c r="AA264" s="3"/>
      <c r="AB264" s="147"/>
      <c r="AC264" s="3"/>
      <c r="AD264" s="3"/>
      <c r="AE264" s="3"/>
      <c r="AF264" s="3"/>
      <c r="AG264" s="3"/>
      <c r="AH264" s="3"/>
      <c r="AI264" s="3"/>
    </row>
    <row r="265" ht="15.75" customHeight="1">
      <c r="A265" s="172"/>
      <c r="E265" s="147"/>
      <c r="I265" s="147"/>
      <c r="AA265" s="3"/>
      <c r="AB265" s="147"/>
      <c r="AC265" s="3"/>
      <c r="AD265" s="3"/>
      <c r="AE265" s="3"/>
      <c r="AF265" s="3"/>
      <c r="AG265" s="3"/>
      <c r="AH265" s="3"/>
      <c r="AI265" s="3"/>
    </row>
    <row r="266" ht="15.75" customHeight="1">
      <c r="A266" s="172"/>
      <c r="E266" s="147"/>
      <c r="I266" s="147"/>
      <c r="AA266" s="3"/>
      <c r="AB266" s="147"/>
      <c r="AC266" s="3"/>
      <c r="AD266" s="3"/>
      <c r="AE266" s="3"/>
      <c r="AF266" s="3"/>
      <c r="AG266" s="3"/>
      <c r="AH266" s="3"/>
      <c r="AI266" s="3"/>
    </row>
    <row r="267" ht="15.75" customHeight="1">
      <c r="A267" s="172"/>
      <c r="E267" s="147"/>
      <c r="I267" s="147"/>
      <c r="AA267" s="3"/>
      <c r="AB267" s="147"/>
      <c r="AC267" s="3"/>
      <c r="AD267" s="3"/>
      <c r="AE267" s="3"/>
      <c r="AF267" s="3"/>
      <c r="AG267" s="3"/>
      <c r="AH267" s="3"/>
      <c r="AI267" s="3"/>
    </row>
    <row r="268" ht="15.75" customHeight="1">
      <c r="A268" s="172"/>
      <c r="E268" s="147"/>
      <c r="I268" s="147"/>
      <c r="AA268" s="3"/>
      <c r="AB268" s="147"/>
      <c r="AC268" s="3"/>
      <c r="AD268" s="3"/>
      <c r="AE268" s="3"/>
      <c r="AF268" s="3"/>
      <c r="AG268" s="3"/>
      <c r="AH268" s="3"/>
      <c r="AI268" s="3"/>
    </row>
    <row r="269" ht="15.75" customHeight="1">
      <c r="A269" s="172"/>
      <c r="E269" s="147"/>
      <c r="I269" s="147"/>
      <c r="AA269" s="3"/>
      <c r="AB269" s="147"/>
      <c r="AC269" s="3"/>
      <c r="AD269" s="3"/>
      <c r="AE269" s="3"/>
      <c r="AF269" s="3"/>
      <c r="AG269" s="3"/>
      <c r="AH269" s="3"/>
      <c r="AI269" s="3"/>
    </row>
    <row r="270" ht="15.75" customHeight="1">
      <c r="A270" s="172"/>
      <c r="E270" s="147"/>
      <c r="I270" s="147"/>
      <c r="AA270" s="3"/>
      <c r="AB270" s="147"/>
      <c r="AC270" s="3"/>
      <c r="AD270" s="3"/>
      <c r="AE270" s="3"/>
      <c r="AF270" s="3"/>
      <c r="AG270" s="3"/>
      <c r="AH270" s="3"/>
      <c r="AI270" s="3"/>
    </row>
    <row r="271" ht="15.75" customHeight="1">
      <c r="A271" s="172"/>
      <c r="E271" s="147"/>
      <c r="I271" s="147"/>
      <c r="AA271" s="3"/>
      <c r="AB271" s="147"/>
      <c r="AC271" s="3"/>
      <c r="AD271" s="3"/>
      <c r="AE271" s="3"/>
      <c r="AF271" s="3"/>
      <c r="AG271" s="3"/>
      <c r="AH271" s="3"/>
      <c r="AI271" s="3"/>
    </row>
    <row r="272" ht="15.75" customHeight="1">
      <c r="A272" s="172"/>
      <c r="E272" s="147"/>
      <c r="I272" s="147"/>
      <c r="AA272" s="3"/>
      <c r="AB272" s="147"/>
      <c r="AC272" s="3"/>
      <c r="AD272" s="3"/>
      <c r="AE272" s="3"/>
      <c r="AF272" s="3"/>
      <c r="AG272" s="3"/>
      <c r="AH272" s="3"/>
      <c r="AI272" s="3"/>
    </row>
    <row r="273" ht="15.75" customHeight="1">
      <c r="A273" s="172"/>
      <c r="E273" s="147"/>
      <c r="I273" s="147"/>
      <c r="AA273" s="3"/>
      <c r="AB273" s="147"/>
      <c r="AC273" s="3"/>
      <c r="AD273" s="3"/>
      <c r="AE273" s="3"/>
      <c r="AF273" s="3"/>
      <c r="AG273" s="3"/>
      <c r="AH273" s="3"/>
      <c r="AI273" s="3"/>
    </row>
    <row r="274" ht="15.75" customHeight="1">
      <c r="A274" s="172"/>
      <c r="E274" s="147"/>
      <c r="I274" s="147"/>
      <c r="AA274" s="3"/>
      <c r="AB274" s="147"/>
      <c r="AC274" s="3"/>
      <c r="AD274" s="3"/>
      <c r="AE274" s="3"/>
      <c r="AF274" s="3"/>
      <c r="AG274" s="3"/>
      <c r="AH274" s="3"/>
      <c r="AI274" s="3"/>
    </row>
    <row r="275" ht="15.75" customHeight="1">
      <c r="A275" s="172"/>
      <c r="E275" s="147"/>
      <c r="I275" s="147"/>
      <c r="AA275" s="3"/>
      <c r="AB275" s="147"/>
      <c r="AC275" s="3"/>
      <c r="AD275" s="3"/>
      <c r="AE275" s="3"/>
      <c r="AF275" s="3"/>
      <c r="AG275" s="3"/>
      <c r="AH275" s="3"/>
      <c r="AI275" s="3"/>
    </row>
    <row r="276" ht="15.75" customHeight="1">
      <c r="A276" s="172"/>
      <c r="E276" s="147"/>
      <c r="I276" s="147"/>
      <c r="AA276" s="3"/>
      <c r="AB276" s="147"/>
      <c r="AC276" s="3"/>
      <c r="AD276" s="3"/>
      <c r="AE276" s="3"/>
      <c r="AF276" s="3"/>
      <c r="AG276" s="3"/>
      <c r="AH276" s="3"/>
      <c r="AI276" s="3"/>
    </row>
    <row r="277" ht="15.75" customHeight="1">
      <c r="A277" s="172"/>
      <c r="E277" s="147"/>
      <c r="I277" s="147"/>
      <c r="AA277" s="3"/>
      <c r="AB277" s="147"/>
      <c r="AC277" s="3"/>
      <c r="AD277" s="3"/>
      <c r="AE277" s="3"/>
      <c r="AF277" s="3"/>
      <c r="AG277" s="3"/>
      <c r="AH277" s="3"/>
      <c r="AI277" s="3"/>
    </row>
    <row r="278" ht="15.75" customHeight="1">
      <c r="A278" s="172"/>
      <c r="E278" s="147"/>
      <c r="I278" s="147"/>
      <c r="AA278" s="3"/>
      <c r="AB278" s="147"/>
      <c r="AC278" s="3"/>
      <c r="AD278" s="3"/>
      <c r="AE278" s="3"/>
      <c r="AF278" s="3"/>
      <c r="AG278" s="3"/>
      <c r="AH278" s="3"/>
      <c r="AI278" s="3"/>
    </row>
    <row r="279" ht="15.75" customHeight="1">
      <c r="A279" s="172"/>
      <c r="E279" s="147"/>
      <c r="I279" s="147"/>
      <c r="AA279" s="3"/>
      <c r="AB279" s="147"/>
      <c r="AC279" s="3"/>
      <c r="AD279" s="3"/>
      <c r="AE279" s="3"/>
      <c r="AF279" s="3"/>
      <c r="AG279" s="3"/>
      <c r="AH279" s="3"/>
      <c r="AI279" s="3"/>
    </row>
    <row r="280" ht="15.75" customHeight="1">
      <c r="A280" s="172"/>
      <c r="E280" s="147"/>
      <c r="I280" s="147"/>
      <c r="AA280" s="3"/>
      <c r="AB280" s="147"/>
      <c r="AC280" s="3"/>
      <c r="AD280" s="3"/>
      <c r="AE280" s="3"/>
      <c r="AF280" s="3"/>
      <c r="AG280" s="3"/>
      <c r="AH280" s="3"/>
      <c r="AI280" s="3"/>
    </row>
    <row r="281" ht="15.75" customHeight="1">
      <c r="A281" s="172"/>
      <c r="E281" s="147"/>
      <c r="I281" s="147"/>
      <c r="AA281" s="3"/>
      <c r="AB281" s="147"/>
      <c r="AC281" s="3"/>
      <c r="AD281" s="3"/>
      <c r="AE281" s="3"/>
      <c r="AF281" s="3"/>
      <c r="AG281" s="3"/>
      <c r="AH281" s="3"/>
      <c r="AI281" s="3"/>
    </row>
    <row r="282" ht="15.75" customHeight="1">
      <c r="A282" s="172"/>
      <c r="E282" s="147"/>
      <c r="I282" s="147"/>
      <c r="AA282" s="3"/>
      <c r="AB282" s="147"/>
      <c r="AC282" s="3"/>
      <c r="AD282" s="3"/>
      <c r="AE282" s="3"/>
      <c r="AF282" s="3"/>
      <c r="AG282" s="3"/>
      <c r="AH282" s="3"/>
      <c r="AI282" s="3"/>
    </row>
    <row r="283" ht="15.75" customHeight="1">
      <c r="A283" s="172"/>
      <c r="E283" s="147"/>
      <c r="I283" s="147"/>
      <c r="AA283" s="3"/>
      <c r="AB283" s="147"/>
      <c r="AC283" s="3"/>
      <c r="AD283" s="3"/>
      <c r="AE283" s="3"/>
      <c r="AF283" s="3"/>
      <c r="AG283" s="3"/>
      <c r="AH283" s="3"/>
      <c r="AI283" s="3"/>
    </row>
    <row r="284" ht="15.75" customHeight="1">
      <c r="A284" s="172"/>
      <c r="E284" s="147"/>
      <c r="I284" s="147"/>
      <c r="AA284" s="3"/>
      <c r="AB284" s="147"/>
      <c r="AC284" s="3"/>
      <c r="AD284" s="3"/>
      <c r="AE284" s="3"/>
      <c r="AF284" s="3"/>
      <c r="AG284" s="3"/>
      <c r="AH284" s="3"/>
      <c r="AI284" s="3"/>
    </row>
    <row r="285" ht="15.75" customHeight="1">
      <c r="A285" s="172"/>
      <c r="E285" s="147"/>
      <c r="I285" s="147"/>
      <c r="AA285" s="3"/>
      <c r="AB285" s="147"/>
      <c r="AC285" s="3"/>
      <c r="AD285" s="3"/>
      <c r="AE285" s="3"/>
      <c r="AF285" s="3"/>
      <c r="AG285" s="3"/>
      <c r="AH285" s="3"/>
      <c r="AI285" s="3"/>
    </row>
    <row r="286" ht="15.75" customHeight="1">
      <c r="A286" s="172"/>
      <c r="E286" s="147"/>
      <c r="I286" s="147"/>
      <c r="AA286" s="3"/>
      <c r="AB286" s="147"/>
      <c r="AC286" s="3"/>
      <c r="AD286" s="3"/>
      <c r="AE286" s="3"/>
      <c r="AF286" s="3"/>
      <c r="AG286" s="3"/>
      <c r="AH286" s="3"/>
      <c r="AI286" s="3"/>
    </row>
    <row r="287" ht="15.75" customHeight="1">
      <c r="A287" s="172"/>
      <c r="E287" s="147"/>
      <c r="I287" s="147"/>
      <c r="AA287" s="3"/>
      <c r="AB287" s="147"/>
      <c r="AC287" s="3"/>
      <c r="AD287" s="3"/>
      <c r="AE287" s="3"/>
      <c r="AF287" s="3"/>
      <c r="AG287" s="3"/>
      <c r="AH287" s="3"/>
      <c r="AI287" s="3"/>
    </row>
    <row r="288" ht="15.75" customHeight="1">
      <c r="A288" s="172"/>
      <c r="E288" s="147"/>
      <c r="I288" s="147"/>
      <c r="AA288" s="3"/>
      <c r="AB288" s="147"/>
      <c r="AC288" s="3"/>
      <c r="AD288" s="3"/>
      <c r="AE288" s="3"/>
      <c r="AF288" s="3"/>
      <c r="AG288" s="3"/>
      <c r="AH288" s="3"/>
      <c r="AI288" s="3"/>
    </row>
    <row r="289" ht="15.75" customHeight="1">
      <c r="A289" s="172"/>
      <c r="E289" s="147"/>
      <c r="I289" s="147"/>
      <c r="AA289" s="3"/>
      <c r="AB289" s="147"/>
      <c r="AC289" s="3"/>
      <c r="AD289" s="3"/>
      <c r="AE289" s="3"/>
      <c r="AF289" s="3"/>
      <c r="AG289" s="3"/>
      <c r="AH289" s="3"/>
      <c r="AI289" s="3"/>
    </row>
    <row r="290" ht="15.75" customHeight="1">
      <c r="A290" s="172"/>
      <c r="E290" s="147"/>
      <c r="I290" s="147"/>
      <c r="AA290" s="3"/>
      <c r="AB290" s="147"/>
      <c r="AC290" s="3"/>
      <c r="AD290" s="3"/>
      <c r="AE290" s="3"/>
      <c r="AF290" s="3"/>
      <c r="AG290" s="3"/>
      <c r="AH290" s="3"/>
      <c r="AI290" s="3"/>
    </row>
    <row r="291" ht="15.75" customHeight="1">
      <c r="A291" s="172"/>
      <c r="E291" s="147"/>
      <c r="I291" s="147"/>
      <c r="AA291" s="3"/>
      <c r="AB291" s="147"/>
      <c r="AC291" s="3"/>
      <c r="AD291" s="3"/>
      <c r="AE291" s="3"/>
      <c r="AF291" s="3"/>
      <c r="AG291" s="3"/>
      <c r="AH291" s="3"/>
      <c r="AI291" s="3"/>
    </row>
    <row r="292" ht="15.75" customHeight="1">
      <c r="A292" s="172"/>
      <c r="E292" s="147"/>
      <c r="I292" s="147"/>
      <c r="AA292" s="3"/>
      <c r="AB292" s="147"/>
      <c r="AC292" s="3"/>
      <c r="AD292" s="3"/>
      <c r="AE292" s="3"/>
      <c r="AF292" s="3"/>
      <c r="AG292" s="3"/>
      <c r="AH292" s="3"/>
      <c r="AI292" s="3"/>
    </row>
    <row r="293" ht="15.75" customHeight="1">
      <c r="A293" s="172"/>
      <c r="E293" s="147"/>
      <c r="I293" s="147"/>
      <c r="AA293" s="3"/>
      <c r="AB293" s="147"/>
      <c r="AC293" s="3"/>
      <c r="AD293" s="3"/>
      <c r="AE293" s="3"/>
      <c r="AF293" s="3"/>
      <c r="AG293" s="3"/>
      <c r="AH293" s="3"/>
      <c r="AI293" s="3"/>
    </row>
    <row r="294" ht="15.75" customHeight="1">
      <c r="A294" s="172"/>
      <c r="E294" s="147"/>
      <c r="I294" s="147"/>
      <c r="AA294" s="3"/>
      <c r="AB294" s="147"/>
      <c r="AC294" s="3"/>
      <c r="AD294" s="3"/>
      <c r="AE294" s="3"/>
      <c r="AF294" s="3"/>
      <c r="AG294" s="3"/>
      <c r="AH294" s="3"/>
      <c r="AI294" s="3"/>
    </row>
    <row r="295" ht="15.75" customHeight="1">
      <c r="A295" s="172"/>
      <c r="E295" s="147"/>
      <c r="I295" s="147"/>
      <c r="AA295" s="3"/>
      <c r="AB295" s="147"/>
      <c r="AC295" s="3"/>
      <c r="AD295" s="3"/>
      <c r="AE295" s="3"/>
      <c r="AF295" s="3"/>
      <c r="AG295" s="3"/>
      <c r="AH295" s="3"/>
      <c r="AI295" s="3"/>
    </row>
    <row r="296" ht="15.75" customHeight="1">
      <c r="A296" s="172"/>
      <c r="E296" s="147"/>
      <c r="I296" s="147"/>
      <c r="AA296" s="3"/>
      <c r="AB296" s="147"/>
      <c r="AC296" s="3"/>
      <c r="AD296" s="3"/>
      <c r="AE296" s="3"/>
      <c r="AF296" s="3"/>
      <c r="AG296" s="3"/>
      <c r="AH296" s="3"/>
      <c r="AI296" s="3"/>
    </row>
    <row r="297" ht="15.75" customHeight="1">
      <c r="A297" s="172"/>
      <c r="E297" s="147"/>
      <c r="I297" s="147"/>
      <c r="AA297" s="3"/>
      <c r="AB297" s="147"/>
      <c r="AC297" s="3"/>
      <c r="AD297" s="3"/>
      <c r="AE297" s="3"/>
      <c r="AF297" s="3"/>
      <c r="AG297" s="3"/>
      <c r="AH297" s="3"/>
      <c r="AI297" s="3"/>
    </row>
    <row r="298" ht="15.75" customHeight="1">
      <c r="A298" s="172"/>
      <c r="E298" s="147"/>
      <c r="I298" s="147"/>
      <c r="AA298" s="3"/>
      <c r="AB298" s="147"/>
      <c r="AC298" s="3"/>
      <c r="AD298" s="3"/>
      <c r="AE298" s="3"/>
      <c r="AF298" s="3"/>
      <c r="AG298" s="3"/>
      <c r="AH298" s="3"/>
      <c r="AI298" s="3"/>
    </row>
    <row r="299" ht="15.75" customHeight="1">
      <c r="A299" s="172"/>
      <c r="E299" s="147"/>
      <c r="I299" s="147"/>
      <c r="AA299" s="3"/>
      <c r="AB299" s="147"/>
      <c r="AC299" s="3"/>
      <c r="AD299" s="3"/>
      <c r="AE299" s="3"/>
      <c r="AF299" s="3"/>
      <c r="AG299" s="3"/>
      <c r="AH299" s="3"/>
      <c r="AI299" s="3"/>
    </row>
    <row r="300" ht="15.75" customHeight="1">
      <c r="A300" s="172"/>
      <c r="E300" s="147"/>
      <c r="I300" s="147"/>
      <c r="AA300" s="3"/>
      <c r="AB300" s="147"/>
      <c r="AC300" s="3"/>
      <c r="AD300" s="3"/>
      <c r="AE300" s="3"/>
      <c r="AF300" s="3"/>
      <c r="AG300" s="3"/>
      <c r="AH300" s="3"/>
      <c r="AI300" s="3"/>
    </row>
    <row r="301" ht="15.75" customHeight="1">
      <c r="A301" s="172"/>
      <c r="E301" s="147"/>
      <c r="I301" s="147"/>
      <c r="AA301" s="3"/>
      <c r="AB301" s="147"/>
      <c r="AC301" s="3"/>
      <c r="AD301" s="3"/>
      <c r="AE301" s="3"/>
      <c r="AF301" s="3"/>
      <c r="AG301" s="3"/>
      <c r="AH301" s="3"/>
      <c r="AI301" s="3"/>
    </row>
    <row r="302" ht="15.75" customHeight="1">
      <c r="A302" s="172"/>
      <c r="E302" s="147"/>
      <c r="I302" s="147"/>
      <c r="AA302" s="3"/>
      <c r="AB302" s="147"/>
      <c r="AC302" s="3"/>
      <c r="AD302" s="3"/>
      <c r="AE302" s="3"/>
      <c r="AF302" s="3"/>
      <c r="AG302" s="3"/>
      <c r="AH302" s="3"/>
      <c r="AI302" s="3"/>
    </row>
    <row r="303" ht="15.75" customHeight="1">
      <c r="A303" s="172"/>
      <c r="E303" s="147"/>
      <c r="I303" s="147"/>
      <c r="AA303" s="3"/>
      <c r="AB303" s="147"/>
      <c r="AC303" s="3"/>
      <c r="AD303" s="3"/>
      <c r="AE303" s="3"/>
      <c r="AF303" s="3"/>
      <c r="AG303" s="3"/>
      <c r="AH303" s="3"/>
      <c r="AI303" s="3"/>
    </row>
    <row r="304" ht="15.75" customHeight="1">
      <c r="A304" s="172"/>
      <c r="E304" s="147"/>
      <c r="I304" s="147"/>
      <c r="AA304" s="3"/>
      <c r="AB304" s="147"/>
      <c r="AC304" s="3"/>
      <c r="AD304" s="3"/>
      <c r="AE304" s="3"/>
      <c r="AF304" s="3"/>
      <c r="AG304" s="3"/>
      <c r="AH304" s="3"/>
      <c r="AI304" s="3"/>
    </row>
    <row r="305" ht="15.75" customHeight="1">
      <c r="A305" s="172"/>
      <c r="E305" s="147"/>
      <c r="I305" s="147"/>
      <c r="AA305" s="3"/>
      <c r="AB305" s="147"/>
      <c r="AC305" s="3"/>
      <c r="AD305" s="3"/>
      <c r="AE305" s="3"/>
      <c r="AF305" s="3"/>
      <c r="AG305" s="3"/>
      <c r="AH305" s="3"/>
      <c r="AI305" s="3"/>
    </row>
    <row r="306" ht="15.75" customHeight="1">
      <c r="A306" s="172"/>
      <c r="E306" s="147"/>
      <c r="I306" s="147"/>
      <c r="AA306" s="3"/>
      <c r="AB306" s="147"/>
      <c r="AC306" s="3"/>
      <c r="AD306" s="3"/>
      <c r="AE306" s="3"/>
      <c r="AF306" s="3"/>
      <c r="AG306" s="3"/>
      <c r="AH306" s="3"/>
      <c r="AI306" s="3"/>
    </row>
    <row r="307" ht="15.75" customHeight="1">
      <c r="A307" s="172"/>
      <c r="E307" s="147"/>
      <c r="I307" s="147"/>
      <c r="AA307" s="3"/>
      <c r="AB307" s="147"/>
      <c r="AC307" s="3"/>
      <c r="AD307" s="3"/>
      <c r="AE307" s="3"/>
      <c r="AF307" s="3"/>
      <c r="AG307" s="3"/>
      <c r="AH307" s="3"/>
      <c r="AI307" s="3"/>
    </row>
    <row r="308" ht="15.75" customHeight="1">
      <c r="A308" s="172"/>
      <c r="E308" s="147"/>
      <c r="I308" s="147"/>
      <c r="AA308" s="3"/>
      <c r="AB308" s="147"/>
      <c r="AC308" s="3"/>
      <c r="AD308" s="3"/>
      <c r="AE308" s="3"/>
      <c r="AF308" s="3"/>
      <c r="AG308" s="3"/>
      <c r="AH308" s="3"/>
      <c r="AI308" s="3"/>
    </row>
    <row r="309" ht="15.75" customHeight="1">
      <c r="A309" s="172"/>
      <c r="E309" s="147"/>
      <c r="I309" s="147"/>
      <c r="AA309" s="3"/>
      <c r="AB309" s="147"/>
      <c r="AC309" s="3"/>
      <c r="AD309" s="3"/>
      <c r="AE309" s="3"/>
      <c r="AF309" s="3"/>
      <c r="AG309" s="3"/>
      <c r="AH309" s="3"/>
      <c r="AI309" s="3"/>
    </row>
    <row r="310" ht="15.75" customHeight="1">
      <c r="A310" s="172"/>
      <c r="E310" s="147"/>
      <c r="I310" s="147"/>
      <c r="AA310" s="3"/>
      <c r="AB310" s="147"/>
      <c r="AC310" s="3"/>
      <c r="AD310" s="3"/>
      <c r="AE310" s="3"/>
      <c r="AF310" s="3"/>
      <c r="AG310" s="3"/>
      <c r="AH310" s="3"/>
      <c r="AI310" s="3"/>
    </row>
    <row r="311" ht="15.75" customHeight="1">
      <c r="A311" s="172"/>
      <c r="E311" s="147"/>
      <c r="I311" s="147"/>
      <c r="AA311" s="3"/>
      <c r="AB311" s="147"/>
      <c r="AC311" s="3"/>
      <c r="AD311" s="3"/>
      <c r="AE311" s="3"/>
      <c r="AF311" s="3"/>
      <c r="AG311" s="3"/>
      <c r="AH311" s="3"/>
      <c r="AI311" s="3"/>
    </row>
    <row r="312" ht="15.75" customHeight="1">
      <c r="A312" s="172"/>
      <c r="E312" s="147"/>
      <c r="I312" s="147"/>
      <c r="AA312" s="3"/>
      <c r="AB312" s="147"/>
      <c r="AC312" s="3"/>
      <c r="AD312" s="3"/>
      <c r="AE312" s="3"/>
      <c r="AF312" s="3"/>
      <c r="AG312" s="3"/>
      <c r="AH312" s="3"/>
      <c r="AI312" s="3"/>
    </row>
    <row r="313" ht="15.75" customHeight="1">
      <c r="A313" s="172"/>
      <c r="E313" s="147"/>
      <c r="I313" s="147"/>
      <c r="AA313" s="3"/>
      <c r="AB313" s="147"/>
      <c r="AC313" s="3"/>
      <c r="AD313" s="3"/>
      <c r="AE313" s="3"/>
      <c r="AF313" s="3"/>
      <c r="AG313" s="3"/>
      <c r="AH313" s="3"/>
      <c r="AI313" s="3"/>
    </row>
    <row r="314" ht="15.75" customHeight="1">
      <c r="A314" s="172"/>
      <c r="E314" s="147"/>
      <c r="I314" s="147"/>
      <c r="AA314" s="3"/>
      <c r="AB314" s="147"/>
      <c r="AC314" s="3"/>
      <c r="AD314" s="3"/>
      <c r="AE314" s="3"/>
      <c r="AF314" s="3"/>
      <c r="AG314" s="3"/>
      <c r="AH314" s="3"/>
      <c r="AI314" s="3"/>
    </row>
    <row r="315" ht="15.75" customHeight="1">
      <c r="A315" s="172"/>
      <c r="E315" s="147"/>
      <c r="I315" s="147"/>
      <c r="AA315" s="3"/>
      <c r="AB315" s="147"/>
      <c r="AC315" s="3"/>
      <c r="AD315" s="3"/>
      <c r="AE315" s="3"/>
      <c r="AF315" s="3"/>
      <c r="AG315" s="3"/>
      <c r="AH315" s="3"/>
      <c r="AI315" s="3"/>
    </row>
    <row r="316" ht="15.75" customHeight="1">
      <c r="A316" s="172"/>
      <c r="E316" s="147"/>
      <c r="I316" s="147"/>
      <c r="AA316" s="3"/>
      <c r="AB316" s="147"/>
      <c r="AC316" s="3"/>
      <c r="AD316" s="3"/>
      <c r="AE316" s="3"/>
      <c r="AF316" s="3"/>
      <c r="AG316" s="3"/>
      <c r="AH316" s="3"/>
      <c r="AI316" s="3"/>
    </row>
    <row r="317" ht="15.75" customHeight="1">
      <c r="A317" s="172"/>
      <c r="E317" s="147"/>
      <c r="I317" s="147"/>
      <c r="AA317" s="3"/>
      <c r="AB317" s="147"/>
      <c r="AC317" s="3"/>
      <c r="AD317" s="3"/>
      <c r="AE317" s="3"/>
      <c r="AF317" s="3"/>
      <c r="AG317" s="3"/>
      <c r="AH317" s="3"/>
      <c r="AI317" s="3"/>
    </row>
    <row r="318" ht="15.75" customHeight="1">
      <c r="A318" s="172"/>
      <c r="E318" s="147"/>
      <c r="I318" s="147"/>
      <c r="AA318" s="3"/>
      <c r="AB318" s="147"/>
      <c r="AC318" s="3"/>
      <c r="AD318" s="3"/>
      <c r="AE318" s="3"/>
      <c r="AF318" s="3"/>
      <c r="AG318" s="3"/>
      <c r="AH318" s="3"/>
      <c r="AI318" s="3"/>
    </row>
    <row r="319" ht="15.75" customHeight="1">
      <c r="A319" s="172"/>
      <c r="E319" s="147"/>
      <c r="I319" s="147"/>
      <c r="AA319" s="3"/>
      <c r="AB319" s="147"/>
      <c r="AC319" s="3"/>
      <c r="AD319" s="3"/>
      <c r="AE319" s="3"/>
      <c r="AF319" s="3"/>
      <c r="AG319" s="3"/>
      <c r="AH319" s="3"/>
      <c r="AI319" s="3"/>
    </row>
    <row r="320" ht="15.75" customHeight="1">
      <c r="A320" s="172"/>
      <c r="E320" s="147"/>
      <c r="I320" s="147"/>
      <c r="AA320" s="3"/>
      <c r="AB320" s="147"/>
      <c r="AC320" s="3"/>
      <c r="AD320" s="3"/>
      <c r="AE320" s="3"/>
      <c r="AF320" s="3"/>
      <c r="AG320" s="3"/>
      <c r="AH320" s="3"/>
      <c r="AI320" s="3"/>
    </row>
    <row r="321" ht="15.75" customHeight="1">
      <c r="A321" s="172"/>
      <c r="E321" s="147"/>
      <c r="I321" s="147"/>
      <c r="AA321" s="3"/>
      <c r="AB321" s="147"/>
      <c r="AC321" s="3"/>
      <c r="AD321" s="3"/>
      <c r="AE321" s="3"/>
      <c r="AF321" s="3"/>
      <c r="AG321" s="3"/>
      <c r="AH321" s="3"/>
      <c r="AI321" s="3"/>
    </row>
    <row r="322" ht="15.75" customHeight="1">
      <c r="A322" s="172"/>
      <c r="E322" s="147"/>
      <c r="I322" s="147"/>
      <c r="AA322" s="3"/>
      <c r="AB322" s="147"/>
      <c r="AC322" s="3"/>
      <c r="AD322" s="3"/>
      <c r="AE322" s="3"/>
      <c r="AF322" s="3"/>
      <c r="AG322" s="3"/>
      <c r="AH322" s="3"/>
      <c r="AI322" s="3"/>
    </row>
    <row r="323" ht="15.75" customHeight="1">
      <c r="A323" s="172"/>
      <c r="E323" s="147"/>
      <c r="I323" s="147"/>
      <c r="AA323" s="3"/>
      <c r="AB323" s="147"/>
      <c r="AC323" s="3"/>
      <c r="AD323" s="3"/>
      <c r="AE323" s="3"/>
      <c r="AF323" s="3"/>
      <c r="AG323" s="3"/>
      <c r="AH323" s="3"/>
      <c r="AI323" s="3"/>
    </row>
    <row r="324" ht="15.75" customHeight="1">
      <c r="A324" s="172"/>
      <c r="E324" s="147"/>
      <c r="I324" s="147"/>
      <c r="AA324" s="3"/>
      <c r="AB324" s="147"/>
      <c r="AC324" s="3"/>
      <c r="AD324" s="3"/>
      <c r="AE324" s="3"/>
      <c r="AF324" s="3"/>
      <c r="AG324" s="3"/>
      <c r="AH324" s="3"/>
      <c r="AI324" s="3"/>
    </row>
    <row r="325" ht="15.75" customHeight="1">
      <c r="A325" s="172"/>
      <c r="E325" s="147"/>
      <c r="I325" s="147"/>
      <c r="AA325" s="3"/>
      <c r="AB325" s="147"/>
      <c r="AC325" s="3"/>
      <c r="AD325" s="3"/>
      <c r="AE325" s="3"/>
      <c r="AF325" s="3"/>
      <c r="AG325" s="3"/>
      <c r="AH325" s="3"/>
      <c r="AI325" s="3"/>
    </row>
    <row r="326" ht="15.75" customHeight="1">
      <c r="A326" s="172"/>
      <c r="E326" s="147"/>
      <c r="I326" s="147"/>
      <c r="AA326" s="3"/>
      <c r="AB326" s="147"/>
      <c r="AC326" s="3"/>
      <c r="AD326" s="3"/>
      <c r="AE326" s="3"/>
      <c r="AF326" s="3"/>
      <c r="AG326" s="3"/>
      <c r="AH326" s="3"/>
      <c r="AI326" s="3"/>
    </row>
    <row r="327" ht="15.75" customHeight="1">
      <c r="A327" s="172"/>
      <c r="E327" s="147"/>
      <c r="I327" s="147"/>
      <c r="AA327" s="3"/>
      <c r="AB327" s="147"/>
      <c r="AC327" s="3"/>
      <c r="AD327" s="3"/>
      <c r="AE327" s="3"/>
      <c r="AF327" s="3"/>
      <c r="AG327" s="3"/>
      <c r="AH327" s="3"/>
      <c r="AI327" s="3"/>
    </row>
    <row r="328" ht="15.75" customHeight="1">
      <c r="A328" s="172"/>
      <c r="E328" s="147"/>
      <c r="I328" s="147"/>
      <c r="AA328" s="3"/>
      <c r="AB328" s="147"/>
      <c r="AC328" s="3"/>
      <c r="AD328" s="3"/>
      <c r="AE328" s="3"/>
      <c r="AF328" s="3"/>
      <c r="AG328" s="3"/>
      <c r="AH328" s="3"/>
      <c r="AI328" s="3"/>
    </row>
    <row r="329" ht="15.75" customHeight="1">
      <c r="A329" s="172"/>
      <c r="E329" s="147"/>
      <c r="I329" s="147"/>
      <c r="AA329" s="3"/>
      <c r="AB329" s="147"/>
      <c r="AC329" s="3"/>
      <c r="AD329" s="3"/>
      <c r="AE329" s="3"/>
      <c r="AF329" s="3"/>
      <c r="AG329" s="3"/>
      <c r="AH329" s="3"/>
      <c r="AI329" s="3"/>
    </row>
    <row r="330" ht="15.75" customHeight="1">
      <c r="A330" s="172"/>
      <c r="E330" s="147"/>
      <c r="I330" s="147"/>
      <c r="AA330" s="3"/>
      <c r="AB330" s="147"/>
      <c r="AC330" s="3"/>
      <c r="AD330" s="3"/>
      <c r="AE330" s="3"/>
      <c r="AF330" s="3"/>
      <c r="AG330" s="3"/>
      <c r="AH330" s="3"/>
      <c r="AI330" s="3"/>
    </row>
    <row r="331" ht="15.75" customHeight="1">
      <c r="A331" s="172"/>
      <c r="E331" s="147"/>
      <c r="I331" s="147"/>
      <c r="AA331" s="3"/>
      <c r="AB331" s="147"/>
      <c r="AC331" s="3"/>
      <c r="AD331" s="3"/>
      <c r="AE331" s="3"/>
      <c r="AF331" s="3"/>
      <c r="AG331" s="3"/>
      <c r="AH331" s="3"/>
      <c r="AI331" s="3"/>
    </row>
    <row r="332" ht="15.75" customHeight="1">
      <c r="A332" s="172"/>
      <c r="E332" s="147"/>
      <c r="I332" s="147"/>
      <c r="AA332" s="3"/>
      <c r="AB332" s="147"/>
      <c r="AC332" s="3"/>
      <c r="AD332" s="3"/>
      <c r="AE332" s="3"/>
      <c r="AF332" s="3"/>
      <c r="AG332" s="3"/>
      <c r="AH332" s="3"/>
      <c r="AI332" s="3"/>
    </row>
    <row r="333" ht="15.75" customHeight="1">
      <c r="A333" s="172"/>
      <c r="E333" s="147"/>
      <c r="I333" s="147"/>
      <c r="AA333" s="3"/>
      <c r="AB333" s="147"/>
      <c r="AC333" s="3"/>
      <c r="AD333" s="3"/>
      <c r="AE333" s="3"/>
      <c r="AF333" s="3"/>
      <c r="AG333" s="3"/>
      <c r="AH333" s="3"/>
      <c r="AI333" s="3"/>
    </row>
    <row r="334" ht="15.75" customHeight="1">
      <c r="A334" s="172"/>
      <c r="E334" s="147"/>
      <c r="I334" s="147"/>
      <c r="AA334" s="3"/>
      <c r="AB334" s="147"/>
      <c r="AC334" s="3"/>
      <c r="AD334" s="3"/>
      <c r="AE334" s="3"/>
      <c r="AF334" s="3"/>
      <c r="AG334" s="3"/>
      <c r="AH334" s="3"/>
      <c r="AI334" s="3"/>
    </row>
    <row r="335" ht="15.75" customHeight="1">
      <c r="A335" s="172"/>
      <c r="E335" s="147"/>
      <c r="I335" s="147"/>
      <c r="AA335" s="3"/>
      <c r="AB335" s="147"/>
      <c r="AC335" s="3"/>
      <c r="AD335" s="3"/>
      <c r="AE335" s="3"/>
      <c r="AF335" s="3"/>
      <c r="AG335" s="3"/>
      <c r="AH335" s="3"/>
      <c r="AI335" s="3"/>
    </row>
    <row r="336" ht="15.75" customHeight="1">
      <c r="A336" s="172"/>
      <c r="E336" s="147"/>
      <c r="I336" s="147"/>
      <c r="AA336" s="3"/>
      <c r="AB336" s="147"/>
      <c r="AC336" s="3"/>
      <c r="AD336" s="3"/>
      <c r="AE336" s="3"/>
      <c r="AF336" s="3"/>
      <c r="AG336" s="3"/>
      <c r="AH336" s="3"/>
      <c r="AI336" s="3"/>
    </row>
    <row r="337" ht="15.75" customHeight="1">
      <c r="A337" s="172"/>
      <c r="E337" s="147"/>
      <c r="I337" s="147"/>
      <c r="AA337" s="3"/>
      <c r="AB337" s="147"/>
      <c r="AC337" s="3"/>
      <c r="AD337" s="3"/>
      <c r="AE337" s="3"/>
      <c r="AF337" s="3"/>
      <c r="AG337" s="3"/>
      <c r="AH337" s="3"/>
      <c r="AI337" s="3"/>
    </row>
    <row r="338" ht="15.75" customHeight="1">
      <c r="A338" s="172"/>
      <c r="E338" s="147"/>
      <c r="I338" s="147"/>
      <c r="AA338" s="3"/>
      <c r="AB338" s="147"/>
      <c r="AC338" s="3"/>
      <c r="AD338" s="3"/>
      <c r="AE338" s="3"/>
      <c r="AF338" s="3"/>
      <c r="AG338" s="3"/>
      <c r="AH338" s="3"/>
      <c r="AI338" s="3"/>
    </row>
    <row r="339" ht="15.75" customHeight="1">
      <c r="A339" s="172"/>
      <c r="E339" s="147"/>
      <c r="I339" s="147"/>
      <c r="AA339" s="3"/>
      <c r="AB339" s="147"/>
      <c r="AC339" s="3"/>
      <c r="AD339" s="3"/>
      <c r="AE339" s="3"/>
      <c r="AF339" s="3"/>
      <c r="AG339" s="3"/>
      <c r="AH339" s="3"/>
      <c r="AI339" s="3"/>
    </row>
    <row r="340" ht="15.75" customHeight="1">
      <c r="A340" s="172"/>
      <c r="E340" s="147"/>
      <c r="I340" s="147"/>
      <c r="AA340" s="3"/>
      <c r="AB340" s="147"/>
      <c r="AC340" s="3"/>
      <c r="AD340" s="3"/>
      <c r="AE340" s="3"/>
      <c r="AF340" s="3"/>
      <c r="AG340" s="3"/>
      <c r="AH340" s="3"/>
      <c r="AI340" s="3"/>
    </row>
    <row r="341" ht="15.75" customHeight="1">
      <c r="A341" s="172"/>
      <c r="E341" s="147"/>
      <c r="I341" s="147"/>
      <c r="AA341" s="3"/>
      <c r="AB341" s="147"/>
      <c r="AC341" s="3"/>
      <c r="AD341" s="3"/>
      <c r="AE341" s="3"/>
      <c r="AF341" s="3"/>
      <c r="AG341" s="3"/>
      <c r="AH341" s="3"/>
      <c r="AI341" s="3"/>
    </row>
    <row r="342" ht="15.75" customHeight="1">
      <c r="A342" s="172"/>
      <c r="E342" s="147"/>
      <c r="I342" s="147"/>
      <c r="AA342" s="3"/>
      <c r="AB342" s="147"/>
      <c r="AC342" s="3"/>
      <c r="AD342" s="3"/>
      <c r="AE342" s="3"/>
      <c r="AF342" s="3"/>
      <c r="AG342" s="3"/>
      <c r="AH342" s="3"/>
      <c r="AI342" s="3"/>
    </row>
    <row r="343" ht="15.75" customHeight="1">
      <c r="A343" s="172"/>
      <c r="E343" s="147"/>
      <c r="I343" s="147"/>
      <c r="AA343" s="3"/>
      <c r="AB343" s="147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0" t="s">
        <v>224</v>
      </c>
      <c r="I1" s="147"/>
      <c r="AA1" s="3"/>
      <c r="AB1" s="147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210</v>
      </c>
      <c r="U2" s="9" t="s">
        <v>211</v>
      </c>
      <c r="V2" s="9" t="s">
        <v>212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210</v>
      </c>
      <c r="AH2" s="5" t="s">
        <v>211</v>
      </c>
      <c r="AI2" s="5" t="s">
        <v>212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48"/>
      <c r="K3" s="149">
        <f t="shared" ref="K3:K68" si="1">IFS(F3=H3+2,3,F3=H3-2,0,F3=H3+1,2,F3=H3-1,1,F3="","")</f>
        <v>3</v>
      </c>
      <c r="L3" s="150">
        <f t="shared" ref="L3:L68" si="2">IFS(H3=F3+2,3,H3=F3-2,0,H3=F3+1,2,H3=F3-1,1,H3="","")</f>
        <v>0</v>
      </c>
      <c r="M3" s="148"/>
      <c r="N3" s="150">
        <v>1.0</v>
      </c>
      <c r="O3" s="151" t="s">
        <v>33</v>
      </c>
      <c r="P3" s="150">
        <f t="shared" ref="P3:P14" si="3">SUMIF(E$3:E$68,O3,K$3:K$68)+SUMIF(I$3:I$68,O3,L$3:L$68)</f>
        <v>25</v>
      </c>
      <c r="Q3" s="152">
        <f t="shared" ref="Q3:Q14" si="4">COUNTIFS(E$3:E$68,O3,K$3:K$68,2)+COUNTIFS(I$3:I$68,O3,L$3:L$68,2)+COUNTIFS(E$3:E$68,O3,K$3:K$68,3)+COUNTIFS(I$3:I$68,O3,L$3:L$68,3)</f>
        <v>9</v>
      </c>
      <c r="R3" s="152"/>
      <c r="S3" s="153">
        <f t="shared" ref="S3:S14" si="5">COUNTIFS(E$3:E$68,O3,K$3:K$68,1)+COUNTIFS(I$3:I$68,O3,L$3:L$68,1)+COUNTIFS(E$3:E$68,O3,K$3:K$68,0)+COUNTIFS(I$3:I$68,O3,L$3:L$68,0)</f>
        <v>2</v>
      </c>
      <c r="T3" s="150">
        <f t="shared" ref="T3:T14" si="6">SUMIF(E$3:E$68,O3,F$3:F$68)+SUMIF(I$3:I$68,O3,H$3:H$68)</f>
        <v>19</v>
      </c>
      <c r="U3" s="153">
        <f t="shared" ref="U3:U14" si="7">SUMIF(E$3:E$68,O3,H$3:H$68)+SUMIF(I$3:I$68,O3,F$3:F$68)</f>
        <v>7</v>
      </c>
      <c r="V3" s="150">
        <f t="shared" ref="V3:V14" si="8">T3-U3</f>
        <v>12</v>
      </c>
      <c r="X3" s="136" t="s">
        <v>26</v>
      </c>
      <c r="Y3" s="136" t="s">
        <v>13</v>
      </c>
      <c r="AA3" s="22" t="s">
        <v>29</v>
      </c>
      <c r="AB3" s="70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36</v>
      </c>
      <c r="J4" s="148"/>
      <c r="K4" s="149">
        <f t="shared" si="1"/>
        <v>0</v>
      </c>
      <c r="L4" s="150">
        <f t="shared" si="2"/>
        <v>3</v>
      </c>
      <c r="M4" s="148"/>
      <c r="N4" s="150">
        <v>2.0</v>
      </c>
      <c r="O4" s="151" t="s">
        <v>118</v>
      </c>
      <c r="P4" s="150">
        <f t="shared" si="3"/>
        <v>2</v>
      </c>
      <c r="Q4" s="152">
        <f t="shared" si="4"/>
        <v>0</v>
      </c>
      <c r="R4" s="152"/>
      <c r="S4" s="153">
        <f t="shared" si="5"/>
        <v>11</v>
      </c>
      <c r="T4" s="150">
        <f t="shared" si="6"/>
        <v>2</v>
      </c>
      <c r="U4" s="153">
        <f t="shared" si="7"/>
        <v>22</v>
      </c>
      <c r="V4" s="150">
        <f t="shared" si="8"/>
        <v>-20</v>
      </c>
      <c r="X4" s="137" t="s">
        <v>66</v>
      </c>
      <c r="Y4" s="137">
        <v>2.0</v>
      </c>
      <c r="AA4" s="22" t="s">
        <v>34</v>
      </c>
      <c r="AB4" s="70" t="s">
        <v>43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48"/>
      <c r="K5" s="149">
        <f t="shared" si="1"/>
        <v>3</v>
      </c>
      <c r="L5" s="150">
        <f t="shared" si="2"/>
        <v>0</v>
      </c>
      <c r="M5" s="148"/>
      <c r="N5" s="150">
        <v>3.0</v>
      </c>
      <c r="O5" s="151" t="s">
        <v>101</v>
      </c>
      <c r="P5" s="150">
        <f t="shared" si="3"/>
        <v>18</v>
      </c>
      <c r="Q5" s="152">
        <f t="shared" si="4"/>
        <v>6</v>
      </c>
      <c r="R5" s="152"/>
      <c r="S5" s="153">
        <f t="shared" si="5"/>
        <v>5</v>
      </c>
      <c r="T5" s="150">
        <f t="shared" si="6"/>
        <v>13</v>
      </c>
      <c r="U5" s="153">
        <f t="shared" si="7"/>
        <v>11</v>
      </c>
      <c r="V5" s="150">
        <f t="shared" si="8"/>
        <v>2</v>
      </c>
      <c r="X5" s="137" t="s">
        <v>31</v>
      </c>
      <c r="Y5" s="137">
        <v>1.0</v>
      </c>
      <c r="AA5" s="22" t="s">
        <v>38</v>
      </c>
      <c r="AB5" s="70" t="s">
        <v>33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35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48"/>
      <c r="K6" s="149">
        <f t="shared" si="1"/>
        <v>3</v>
      </c>
      <c r="L6" s="150">
        <f t="shared" si="2"/>
        <v>0</v>
      </c>
      <c r="M6" s="148"/>
      <c r="N6" s="150">
        <v>4.0</v>
      </c>
      <c r="O6" s="151" t="s">
        <v>121</v>
      </c>
      <c r="P6" s="150">
        <f t="shared" si="3"/>
        <v>10</v>
      </c>
      <c r="Q6" s="152">
        <f t="shared" si="4"/>
        <v>3</v>
      </c>
      <c r="R6" s="152"/>
      <c r="S6" s="153">
        <f t="shared" si="5"/>
        <v>8</v>
      </c>
      <c r="T6" s="150">
        <f t="shared" si="6"/>
        <v>7</v>
      </c>
      <c r="U6" s="153">
        <f t="shared" si="7"/>
        <v>16</v>
      </c>
      <c r="V6" s="150">
        <f t="shared" si="8"/>
        <v>-9</v>
      </c>
      <c r="AA6" s="22" t="s">
        <v>42</v>
      </c>
      <c r="AB6" s="70" t="s">
        <v>25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35</v>
      </c>
      <c r="D7" s="12" t="s">
        <v>22</v>
      </c>
      <c r="E7" s="17" t="s">
        <v>121</v>
      </c>
      <c r="F7" s="13">
        <v>2.0</v>
      </c>
      <c r="G7" s="31" t="s">
        <v>24</v>
      </c>
      <c r="H7" s="13">
        <v>0.0</v>
      </c>
      <c r="I7" s="17" t="s">
        <v>117</v>
      </c>
      <c r="J7" s="148"/>
      <c r="K7" s="149">
        <f t="shared" si="1"/>
        <v>3</v>
      </c>
      <c r="L7" s="150">
        <f t="shared" si="2"/>
        <v>0</v>
      </c>
      <c r="M7" s="148"/>
      <c r="N7" s="150">
        <v>5.0</v>
      </c>
      <c r="O7" s="151" t="s">
        <v>36</v>
      </c>
      <c r="P7" s="150">
        <f t="shared" si="3"/>
        <v>30</v>
      </c>
      <c r="Q7" s="152">
        <f t="shared" si="4"/>
        <v>10</v>
      </c>
      <c r="R7" s="152"/>
      <c r="S7" s="153">
        <f t="shared" si="5"/>
        <v>1</v>
      </c>
      <c r="T7" s="150">
        <f t="shared" si="6"/>
        <v>21</v>
      </c>
      <c r="U7" s="153">
        <f t="shared" si="7"/>
        <v>3</v>
      </c>
      <c r="V7" s="150">
        <f t="shared" si="8"/>
        <v>18</v>
      </c>
      <c r="AA7" s="22" t="s">
        <v>44</v>
      </c>
      <c r="AB7" s="70" t="s">
        <v>120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35</v>
      </c>
      <c r="D8" s="12" t="s">
        <v>22</v>
      </c>
      <c r="E8" s="17" t="s">
        <v>120</v>
      </c>
      <c r="F8" s="13">
        <v>2.0</v>
      </c>
      <c r="G8" s="31" t="s">
        <v>24</v>
      </c>
      <c r="H8" s="13">
        <v>1.0</v>
      </c>
      <c r="I8" s="17" t="s">
        <v>118</v>
      </c>
      <c r="J8" s="148"/>
      <c r="K8" s="149">
        <f t="shared" si="1"/>
        <v>2</v>
      </c>
      <c r="L8" s="150">
        <f t="shared" si="2"/>
        <v>1</v>
      </c>
      <c r="M8" s="148"/>
      <c r="N8" s="150">
        <v>6.0</v>
      </c>
      <c r="O8" s="151" t="s">
        <v>25</v>
      </c>
      <c r="P8" s="150">
        <f t="shared" si="3"/>
        <v>21</v>
      </c>
      <c r="Q8" s="152">
        <f t="shared" si="4"/>
        <v>8</v>
      </c>
      <c r="R8" s="152"/>
      <c r="S8" s="153">
        <f t="shared" si="5"/>
        <v>3</v>
      </c>
      <c r="T8" s="150">
        <f t="shared" si="6"/>
        <v>17</v>
      </c>
      <c r="U8" s="153">
        <f t="shared" si="7"/>
        <v>10</v>
      </c>
      <c r="V8" s="150">
        <f t="shared" si="8"/>
        <v>7</v>
      </c>
      <c r="AA8" s="22" t="s">
        <v>47</v>
      </c>
      <c r="AB8" s="70" t="s">
        <v>101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120</v>
      </c>
      <c r="J9" s="148"/>
      <c r="K9" s="149">
        <f t="shared" si="1"/>
        <v>1</v>
      </c>
      <c r="L9" s="150">
        <f t="shared" si="2"/>
        <v>2</v>
      </c>
      <c r="M9" s="148"/>
      <c r="N9" s="150">
        <v>7.0</v>
      </c>
      <c r="O9" s="151" t="s">
        <v>66</v>
      </c>
      <c r="P9" s="150">
        <f t="shared" si="3"/>
        <v>16</v>
      </c>
      <c r="Q9" s="152">
        <f t="shared" si="4"/>
        <v>5</v>
      </c>
      <c r="R9" s="152"/>
      <c r="S9" s="153">
        <f t="shared" si="5"/>
        <v>6</v>
      </c>
      <c r="T9" s="150">
        <f t="shared" si="6"/>
        <v>12</v>
      </c>
      <c r="U9" s="153">
        <f t="shared" si="7"/>
        <v>13</v>
      </c>
      <c r="V9" s="150">
        <f t="shared" si="8"/>
        <v>-1</v>
      </c>
      <c r="AA9" s="22">
        <v>7.0</v>
      </c>
      <c r="AB9" s="70" t="s">
        <v>66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36</v>
      </c>
      <c r="F10" s="13">
        <v>2.0</v>
      </c>
      <c r="G10" s="31" t="s">
        <v>24</v>
      </c>
      <c r="H10" s="13">
        <v>0.0</v>
      </c>
      <c r="I10" s="17" t="s">
        <v>33</v>
      </c>
      <c r="J10" s="148"/>
      <c r="K10" s="149">
        <f t="shared" si="1"/>
        <v>3</v>
      </c>
      <c r="L10" s="150">
        <f t="shared" si="2"/>
        <v>0</v>
      </c>
      <c r="M10" s="148"/>
      <c r="N10" s="150">
        <v>8.0</v>
      </c>
      <c r="O10" s="151" t="s">
        <v>43</v>
      </c>
      <c r="P10" s="150">
        <f t="shared" si="3"/>
        <v>28</v>
      </c>
      <c r="Q10" s="152">
        <f t="shared" si="4"/>
        <v>9</v>
      </c>
      <c r="R10" s="152"/>
      <c r="S10" s="153">
        <f t="shared" si="5"/>
        <v>2</v>
      </c>
      <c r="T10" s="150">
        <f t="shared" si="6"/>
        <v>20</v>
      </c>
      <c r="U10" s="153">
        <f t="shared" si="7"/>
        <v>5</v>
      </c>
      <c r="V10" s="150">
        <f t="shared" si="8"/>
        <v>15</v>
      </c>
      <c r="AA10" s="22">
        <v>8.0</v>
      </c>
      <c r="AB10" s="70" t="s">
        <v>67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48"/>
      <c r="K11" s="149">
        <f t="shared" si="1"/>
        <v>3</v>
      </c>
      <c r="L11" s="150">
        <f t="shared" si="2"/>
        <v>0</v>
      </c>
      <c r="M11" s="148"/>
      <c r="N11" s="150">
        <v>9.0</v>
      </c>
      <c r="O11" s="151" t="s">
        <v>40</v>
      </c>
      <c r="P11" s="150">
        <f t="shared" si="3"/>
        <v>11</v>
      </c>
      <c r="Q11" s="152">
        <f t="shared" si="4"/>
        <v>3</v>
      </c>
      <c r="R11" s="152"/>
      <c r="S11" s="153">
        <f t="shared" si="5"/>
        <v>8</v>
      </c>
      <c r="T11" s="150">
        <f t="shared" si="6"/>
        <v>9</v>
      </c>
      <c r="U11" s="153">
        <f t="shared" si="7"/>
        <v>17</v>
      </c>
      <c r="V11" s="150">
        <f t="shared" si="8"/>
        <v>-8</v>
      </c>
      <c r="AA11" s="125" t="s">
        <v>104</v>
      </c>
      <c r="AB11" s="70" t="s">
        <v>40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48"/>
      <c r="K12" s="149">
        <f t="shared" si="1"/>
        <v>0</v>
      </c>
      <c r="L12" s="150">
        <f t="shared" si="2"/>
        <v>3</v>
      </c>
      <c r="M12" s="148"/>
      <c r="N12" s="150">
        <v>10.0</v>
      </c>
      <c r="O12" s="154" t="s">
        <v>67</v>
      </c>
      <c r="P12" s="150">
        <f t="shared" si="3"/>
        <v>13</v>
      </c>
      <c r="Q12" s="152">
        <f t="shared" si="4"/>
        <v>4</v>
      </c>
      <c r="R12" s="152"/>
      <c r="S12" s="153">
        <f t="shared" si="5"/>
        <v>7</v>
      </c>
      <c r="T12" s="150">
        <f t="shared" si="6"/>
        <v>10</v>
      </c>
      <c r="U12" s="153">
        <f t="shared" si="7"/>
        <v>15</v>
      </c>
      <c r="V12" s="150">
        <f t="shared" si="8"/>
        <v>-5</v>
      </c>
      <c r="AA12" s="76">
        <v>10.0</v>
      </c>
      <c r="AB12" s="70" t="s">
        <v>121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117</v>
      </c>
      <c r="F13" s="13">
        <v>0.0</v>
      </c>
      <c r="G13" s="31" t="s">
        <v>24</v>
      </c>
      <c r="H13" s="13">
        <v>2.0</v>
      </c>
      <c r="I13" s="17" t="s">
        <v>25</v>
      </c>
      <c r="J13" s="148"/>
      <c r="K13" s="149">
        <f t="shared" si="1"/>
        <v>0</v>
      </c>
      <c r="L13" s="150">
        <f t="shared" si="2"/>
        <v>3</v>
      </c>
      <c r="M13" s="148"/>
      <c r="N13" s="150">
        <v>11.0</v>
      </c>
      <c r="O13" s="155" t="s">
        <v>117</v>
      </c>
      <c r="P13" s="150">
        <f t="shared" si="3"/>
        <v>3</v>
      </c>
      <c r="Q13" s="152">
        <f t="shared" si="4"/>
        <v>1</v>
      </c>
      <c r="R13" s="152"/>
      <c r="S13" s="153">
        <f t="shared" si="5"/>
        <v>10</v>
      </c>
      <c r="T13" s="150">
        <f t="shared" si="6"/>
        <v>3</v>
      </c>
      <c r="U13" s="153">
        <f t="shared" si="7"/>
        <v>21</v>
      </c>
      <c r="V13" s="150">
        <f t="shared" si="8"/>
        <v>-18</v>
      </c>
      <c r="AA13" s="76">
        <v>11.0</v>
      </c>
      <c r="AB13" s="70" t="s">
        <v>117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118</v>
      </c>
      <c r="F14" s="13">
        <v>0.0</v>
      </c>
      <c r="G14" s="31" t="s">
        <v>24</v>
      </c>
      <c r="H14" s="13">
        <v>2.0</v>
      </c>
      <c r="I14" s="17" t="s">
        <v>121</v>
      </c>
      <c r="J14" s="148"/>
      <c r="K14" s="149">
        <f t="shared" si="1"/>
        <v>0</v>
      </c>
      <c r="L14" s="150">
        <f t="shared" si="2"/>
        <v>3</v>
      </c>
      <c r="M14" s="148"/>
      <c r="N14" s="156">
        <v>12.0</v>
      </c>
      <c r="O14" s="155" t="s">
        <v>120</v>
      </c>
      <c r="P14" s="150">
        <f t="shared" si="3"/>
        <v>21</v>
      </c>
      <c r="Q14" s="152">
        <f t="shared" si="4"/>
        <v>8</v>
      </c>
      <c r="S14" s="153">
        <f t="shared" si="5"/>
        <v>3</v>
      </c>
      <c r="T14" s="150">
        <f t="shared" si="6"/>
        <v>18</v>
      </c>
      <c r="U14" s="153">
        <f t="shared" si="7"/>
        <v>11</v>
      </c>
      <c r="V14" s="150">
        <f t="shared" si="8"/>
        <v>7</v>
      </c>
      <c r="AA14" s="76">
        <v>12.0</v>
      </c>
      <c r="AB14" s="28" t="s">
        <v>118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36</v>
      </c>
      <c r="J15" s="148"/>
      <c r="K15" s="149">
        <f t="shared" si="1"/>
        <v>0</v>
      </c>
      <c r="L15" s="150">
        <f t="shared" si="2"/>
        <v>3</v>
      </c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AA15" s="35" t="s">
        <v>225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48"/>
      <c r="K16" s="149">
        <f t="shared" si="1"/>
        <v>3</v>
      </c>
      <c r="L16" s="150">
        <f t="shared" si="2"/>
        <v>0</v>
      </c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AA16" s="79" t="s">
        <v>109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48"/>
      <c r="K17" s="149">
        <f t="shared" si="1"/>
        <v>3</v>
      </c>
      <c r="L17" s="150">
        <f t="shared" si="2"/>
        <v>0</v>
      </c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AA17" s="157"/>
      <c r="AB17" s="157"/>
      <c r="AC17" s="157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117</v>
      </c>
      <c r="J18" s="158"/>
      <c r="K18" s="149">
        <f t="shared" si="1"/>
        <v>3</v>
      </c>
      <c r="L18" s="150">
        <f t="shared" si="2"/>
        <v>0</v>
      </c>
      <c r="M18" s="148"/>
      <c r="N18" s="148"/>
      <c r="O18" s="148"/>
      <c r="P18" s="148"/>
      <c r="R18" s="148"/>
      <c r="S18" s="148"/>
      <c r="T18" s="148"/>
      <c r="U18" s="148"/>
      <c r="V18" s="148"/>
      <c r="AA18" s="81" t="s">
        <v>111</v>
      </c>
      <c r="AB18" s="82"/>
      <c r="AC18" s="82"/>
      <c r="AD18" s="82"/>
      <c r="AE18" s="82"/>
      <c r="AF18" s="82"/>
      <c r="AG18" s="82"/>
      <c r="AH18" s="82"/>
      <c r="AI18" s="83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118</v>
      </c>
      <c r="J19" s="148"/>
      <c r="K19" s="149">
        <f t="shared" si="1"/>
        <v>3</v>
      </c>
      <c r="L19" s="150">
        <f t="shared" si="2"/>
        <v>0</v>
      </c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AA19" s="84"/>
      <c r="AB19" s="85"/>
      <c r="AC19" s="85"/>
      <c r="AD19" s="85"/>
      <c r="AE19" s="85"/>
      <c r="AF19" s="85"/>
      <c r="AG19" s="85"/>
      <c r="AH19" s="85"/>
      <c r="AI19" s="86"/>
      <c r="AJ19" s="3"/>
    </row>
    <row r="20" ht="15.75" customHeight="1">
      <c r="A20" s="29"/>
      <c r="B20" s="11">
        <v>45966.0</v>
      </c>
      <c r="C20" s="12" t="s">
        <v>167</v>
      </c>
      <c r="D20" s="12" t="s">
        <v>22</v>
      </c>
      <c r="E20" s="17" t="s">
        <v>120</v>
      </c>
      <c r="F20" s="13">
        <v>2.0</v>
      </c>
      <c r="G20" s="31" t="s">
        <v>24</v>
      </c>
      <c r="H20" s="13">
        <v>0.0</v>
      </c>
      <c r="I20" s="17" t="s">
        <v>121</v>
      </c>
      <c r="J20" s="148"/>
      <c r="K20" s="149">
        <f t="shared" si="1"/>
        <v>3</v>
      </c>
      <c r="L20" s="150">
        <f t="shared" si="2"/>
        <v>0</v>
      </c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AA20" s="5" t="s">
        <v>11</v>
      </c>
      <c r="AB20" s="5" t="s">
        <v>12</v>
      </c>
      <c r="AC20" s="5" t="s">
        <v>13</v>
      </c>
      <c r="AD20" s="5" t="s">
        <v>14</v>
      </c>
      <c r="AE20" s="5" t="s">
        <v>15</v>
      </c>
      <c r="AF20" s="5" t="s">
        <v>16</v>
      </c>
      <c r="AG20" s="5" t="s">
        <v>210</v>
      </c>
      <c r="AH20" s="5" t="s">
        <v>211</v>
      </c>
      <c r="AI20" s="5" t="s">
        <v>212</v>
      </c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36</v>
      </c>
      <c r="F21" s="13">
        <v>1.0</v>
      </c>
      <c r="G21" s="31" t="s">
        <v>24</v>
      </c>
      <c r="H21" s="13">
        <v>2.0</v>
      </c>
      <c r="I21" s="17" t="s">
        <v>120</v>
      </c>
      <c r="J21" s="148"/>
      <c r="K21" s="149">
        <f t="shared" si="1"/>
        <v>1</v>
      </c>
      <c r="L21" s="150">
        <f t="shared" si="2"/>
        <v>2</v>
      </c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AA21" s="22" t="s">
        <v>29</v>
      </c>
      <c r="AB21" s="70" t="s">
        <v>36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48"/>
      <c r="K22" s="149">
        <f t="shared" si="1"/>
        <v>3</v>
      </c>
      <c r="L22" s="150">
        <f t="shared" si="2"/>
        <v>0</v>
      </c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AA22" s="22" t="s">
        <v>34</v>
      </c>
      <c r="AB22" s="70" t="s">
        <v>43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157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48"/>
      <c r="K23" s="149">
        <f t="shared" si="1"/>
        <v>1</v>
      </c>
      <c r="L23" s="150">
        <f t="shared" si="2"/>
        <v>2</v>
      </c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AA23" s="22" t="s">
        <v>38</v>
      </c>
      <c r="AB23" s="70" t="s">
        <v>33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35</v>
      </c>
      <c r="D24" s="12" t="s">
        <v>22</v>
      </c>
      <c r="E24" s="17" t="s">
        <v>117</v>
      </c>
      <c r="F24" s="13">
        <v>0.0</v>
      </c>
      <c r="G24" s="31" t="s">
        <v>24</v>
      </c>
      <c r="H24" s="13">
        <v>2.0</v>
      </c>
      <c r="I24" s="17" t="s">
        <v>67</v>
      </c>
      <c r="J24" s="148"/>
      <c r="K24" s="149">
        <f t="shared" si="1"/>
        <v>0</v>
      </c>
      <c r="L24" s="150">
        <f t="shared" si="2"/>
        <v>3</v>
      </c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AA24" s="22" t="s">
        <v>42</v>
      </c>
      <c r="AB24" s="70" t="s">
        <v>120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35</v>
      </c>
      <c r="D25" s="12" t="s">
        <v>22</v>
      </c>
      <c r="E25" s="17" t="s">
        <v>118</v>
      </c>
      <c r="F25" s="13">
        <v>0.0</v>
      </c>
      <c r="G25" s="31" t="s">
        <v>24</v>
      </c>
      <c r="H25" s="13">
        <v>2.0</v>
      </c>
      <c r="I25" s="17" t="s">
        <v>43</v>
      </c>
      <c r="J25" s="148"/>
      <c r="K25" s="149">
        <f t="shared" si="1"/>
        <v>0</v>
      </c>
      <c r="L25" s="150">
        <f t="shared" si="2"/>
        <v>3</v>
      </c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AA25" s="22" t="s">
        <v>44</v>
      </c>
      <c r="AB25" s="70" t="s">
        <v>25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35</v>
      </c>
      <c r="D26" s="12" t="s">
        <v>22</v>
      </c>
      <c r="E26" s="17" t="s">
        <v>121</v>
      </c>
      <c r="F26" s="13">
        <v>0.0</v>
      </c>
      <c r="G26" s="31" t="s">
        <v>24</v>
      </c>
      <c r="H26" s="13">
        <v>2.0</v>
      </c>
      <c r="I26" s="17" t="s">
        <v>25</v>
      </c>
      <c r="J26" s="148"/>
      <c r="K26" s="149">
        <f t="shared" si="1"/>
        <v>0</v>
      </c>
      <c r="L26" s="150">
        <f t="shared" si="2"/>
        <v>3</v>
      </c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AA26" s="22" t="s">
        <v>47</v>
      </c>
      <c r="AB26" s="70" t="s">
        <v>101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36</v>
      </c>
      <c r="F27" s="13">
        <v>2.0</v>
      </c>
      <c r="G27" s="31" t="s">
        <v>24</v>
      </c>
      <c r="H27" s="13">
        <v>0.0</v>
      </c>
      <c r="I27" s="17" t="s">
        <v>66</v>
      </c>
      <c r="J27" s="148"/>
      <c r="K27" s="149">
        <f t="shared" si="1"/>
        <v>3</v>
      </c>
      <c r="L27" s="150">
        <f t="shared" si="2"/>
        <v>0</v>
      </c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AA27" s="22">
        <v>7.0</v>
      </c>
      <c r="AB27" s="70" t="s">
        <v>66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48"/>
      <c r="K28" s="149">
        <f t="shared" si="1"/>
        <v>3</v>
      </c>
      <c r="L28" s="150">
        <f t="shared" si="2"/>
        <v>0</v>
      </c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AA28" s="22">
        <v>8.0</v>
      </c>
      <c r="AB28" s="70" t="s">
        <v>67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117</v>
      </c>
      <c r="J29" s="148"/>
      <c r="K29" s="149">
        <f t="shared" si="1"/>
        <v>3</v>
      </c>
      <c r="L29" s="150">
        <f t="shared" si="2"/>
        <v>0</v>
      </c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AA29" s="125" t="s">
        <v>104</v>
      </c>
      <c r="AB29" s="70" t="s">
        <v>40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35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118</v>
      </c>
      <c r="J30" s="148"/>
      <c r="K30" s="149">
        <f t="shared" si="1"/>
        <v>3</v>
      </c>
      <c r="L30" s="150">
        <f t="shared" si="2"/>
        <v>0</v>
      </c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AA30" s="76">
        <v>10.0</v>
      </c>
      <c r="AB30" s="70" t="s">
        <v>121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35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121</v>
      </c>
      <c r="J31" s="148"/>
      <c r="K31" s="149">
        <f t="shared" si="1"/>
        <v>3</v>
      </c>
      <c r="L31" s="150">
        <f t="shared" si="2"/>
        <v>0</v>
      </c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AA31" s="76">
        <v>11.0</v>
      </c>
      <c r="AB31" s="70" t="s">
        <v>117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35</v>
      </c>
      <c r="D32" s="12" t="s">
        <v>22</v>
      </c>
      <c r="E32" s="17" t="s">
        <v>120</v>
      </c>
      <c r="F32" s="13">
        <v>1.0</v>
      </c>
      <c r="G32" s="31" t="s">
        <v>24</v>
      </c>
      <c r="H32" s="13">
        <v>2.0</v>
      </c>
      <c r="I32" s="17" t="s">
        <v>25</v>
      </c>
      <c r="J32" s="148"/>
      <c r="K32" s="149">
        <f t="shared" si="1"/>
        <v>1</v>
      </c>
      <c r="L32" s="150">
        <f t="shared" si="2"/>
        <v>2</v>
      </c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AA32" s="76">
        <v>12.0</v>
      </c>
      <c r="AB32" s="28" t="s">
        <v>118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156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120</v>
      </c>
      <c r="J33" s="148"/>
      <c r="K33" s="149">
        <f t="shared" si="1"/>
        <v>1</v>
      </c>
      <c r="L33" s="150">
        <f t="shared" si="2"/>
        <v>2</v>
      </c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AA33" s="35" t="s">
        <v>226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156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36</v>
      </c>
      <c r="J34" s="148"/>
      <c r="K34" s="149">
        <f t="shared" si="1"/>
        <v>0</v>
      </c>
      <c r="L34" s="150">
        <f t="shared" si="2"/>
        <v>3</v>
      </c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AA34" s="79" t="s">
        <v>109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156</v>
      </c>
      <c r="D35" s="12" t="s">
        <v>22</v>
      </c>
      <c r="E35" s="17" t="s">
        <v>117</v>
      </c>
      <c r="F35" s="13">
        <v>0.0</v>
      </c>
      <c r="G35" s="31" t="s">
        <v>24</v>
      </c>
      <c r="H35" s="13">
        <v>2.0</v>
      </c>
      <c r="I35" s="17" t="s">
        <v>101</v>
      </c>
      <c r="J35" s="148"/>
      <c r="K35" s="149">
        <f t="shared" si="1"/>
        <v>0</v>
      </c>
      <c r="L35" s="150">
        <f t="shared" si="2"/>
        <v>3</v>
      </c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AA35" s="157"/>
      <c r="AD35" s="37"/>
      <c r="AJ35" s="3"/>
    </row>
    <row r="36" ht="15.75" customHeight="1">
      <c r="A36" s="25"/>
      <c r="B36" s="11">
        <v>46082.0</v>
      </c>
      <c r="C36" s="12" t="s">
        <v>154</v>
      </c>
      <c r="D36" s="12" t="s">
        <v>22</v>
      </c>
      <c r="E36" s="17" t="s">
        <v>118</v>
      </c>
      <c r="F36" s="13">
        <v>0.0</v>
      </c>
      <c r="G36" s="31" t="s">
        <v>24</v>
      </c>
      <c r="H36" s="13">
        <v>2.0</v>
      </c>
      <c r="I36" s="17" t="s">
        <v>33</v>
      </c>
      <c r="J36" s="148"/>
      <c r="K36" s="149">
        <f t="shared" si="1"/>
        <v>0</v>
      </c>
      <c r="L36" s="150">
        <f t="shared" si="2"/>
        <v>3</v>
      </c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AJ36" s="3"/>
    </row>
    <row r="37" ht="15.75" customHeight="1">
      <c r="A37" s="25"/>
      <c r="B37" s="11">
        <v>46082.0</v>
      </c>
      <c r="C37" s="12" t="s">
        <v>154</v>
      </c>
      <c r="D37" s="12" t="s">
        <v>22</v>
      </c>
      <c r="E37" s="17" t="s">
        <v>121</v>
      </c>
      <c r="F37" s="13">
        <v>1.0</v>
      </c>
      <c r="G37" s="31" t="s">
        <v>24</v>
      </c>
      <c r="H37" s="13">
        <v>2.0</v>
      </c>
      <c r="I37" s="17" t="s">
        <v>67</v>
      </c>
      <c r="J37" s="148"/>
      <c r="K37" s="149">
        <f t="shared" si="1"/>
        <v>1</v>
      </c>
      <c r="L37" s="150">
        <f t="shared" si="2"/>
        <v>2</v>
      </c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AJ37" s="3"/>
    </row>
    <row r="38" ht="15.75" customHeight="1">
      <c r="A38" s="29"/>
      <c r="B38" s="11">
        <v>46082.0</v>
      </c>
      <c r="C38" s="12" t="s">
        <v>154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48"/>
      <c r="K38" s="149">
        <f t="shared" si="1"/>
        <v>1</v>
      </c>
      <c r="L38" s="150">
        <f t="shared" si="2"/>
        <v>2</v>
      </c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48"/>
      <c r="K39" s="149">
        <f t="shared" si="1"/>
        <v>2</v>
      </c>
      <c r="L39" s="150">
        <f t="shared" si="2"/>
        <v>1</v>
      </c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36</v>
      </c>
      <c r="F40" s="13">
        <v>2.0</v>
      </c>
      <c r="G40" s="31" t="s">
        <v>24</v>
      </c>
      <c r="H40" s="13">
        <v>0.0</v>
      </c>
      <c r="I40" s="17" t="s">
        <v>117</v>
      </c>
      <c r="J40" s="148"/>
      <c r="K40" s="149">
        <f t="shared" si="1"/>
        <v>3</v>
      </c>
      <c r="L40" s="150">
        <f t="shared" si="2"/>
        <v>0</v>
      </c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35</v>
      </c>
      <c r="D41" s="39" t="s">
        <v>22</v>
      </c>
      <c r="E41" s="44" t="s">
        <v>101</v>
      </c>
      <c r="F41" s="13">
        <v>2.0</v>
      </c>
      <c r="G41" s="31" t="s">
        <v>24</v>
      </c>
      <c r="H41" s="13">
        <v>0.0</v>
      </c>
      <c r="I41" s="44" t="s">
        <v>118</v>
      </c>
      <c r="J41" s="148"/>
      <c r="K41" s="149">
        <f t="shared" si="1"/>
        <v>3</v>
      </c>
      <c r="L41" s="150">
        <f t="shared" si="2"/>
        <v>0</v>
      </c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35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121</v>
      </c>
      <c r="J42" s="148"/>
      <c r="K42" s="149">
        <f t="shared" si="1"/>
        <v>3</v>
      </c>
      <c r="L42" s="150">
        <f t="shared" si="2"/>
        <v>0</v>
      </c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35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48"/>
      <c r="K43" s="149">
        <f t="shared" si="1"/>
        <v>1</v>
      </c>
      <c r="L43" s="150">
        <f t="shared" si="2"/>
        <v>2</v>
      </c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35</v>
      </c>
      <c r="D44" s="12" t="s">
        <v>22</v>
      </c>
      <c r="E44" s="17" t="s">
        <v>120</v>
      </c>
      <c r="F44" s="13">
        <v>0.0</v>
      </c>
      <c r="G44" s="31" t="s">
        <v>24</v>
      </c>
      <c r="H44" s="13">
        <v>2.0</v>
      </c>
      <c r="I44" s="17" t="s">
        <v>43</v>
      </c>
      <c r="J44" s="148"/>
      <c r="K44" s="149">
        <f t="shared" si="1"/>
        <v>0</v>
      </c>
      <c r="L44" s="150">
        <f t="shared" si="2"/>
        <v>3</v>
      </c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35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120</v>
      </c>
      <c r="J45" s="148"/>
      <c r="K45" s="149">
        <f t="shared" si="1"/>
        <v>1</v>
      </c>
      <c r="L45" s="150">
        <f t="shared" si="2"/>
        <v>2</v>
      </c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117</v>
      </c>
      <c r="F46" s="13">
        <v>0.0</v>
      </c>
      <c r="G46" s="31" t="s">
        <v>24</v>
      </c>
      <c r="H46" s="13">
        <v>2.0</v>
      </c>
      <c r="I46" s="17" t="s">
        <v>66</v>
      </c>
      <c r="J46" s="148"/>
      <c r="K46" s="149">
        <f t="shared" si="1"/>
        <v>0</v>
      </c>
      <c r="L46" s="150">
        <f t="shared" si="2"/>
        <v>3</v>
      </c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118</v>
      </c>
      <c r="F47" s="13">
        <v>0.0</v>
      </c>
      <c r="G47" s="31" t="s">
        <v>24</v>
      </c>
      <c r="H47" s="13">
        <v>2.0</v>
      </c>
      <c r="I47" s="17" t="s">
        <v>36</v>
      </c>
      <c r="J47" s="148"/>
      <c r="K47" s="149">
        <f t="shared" si="1"/>
        <v>0</v>
      </c>
      <c r="L47" s="150">
        <f t="shared" si="2"/>
        <v>3</v>
      </c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121</v>
      </c>
      <c r="F48" s="13">
        <v>0.0</v>
      </c>
      <c r="G48" s="31" t="s">
        <v>24</v>
      </c>
      <c r="H48" s="13">
        <v>2.0</v>
      </c>
      <c r="I48" s="44" t="s">
        <v>101</v>
      </c>
      <c r="K48" s="149">
        <f t="shared" si="1"/>
        <v>0</v>
      </c>
      <c r="L48" s="150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35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49">
        <f t="shared" si="1"/>
        <v>2</v>
      </c>
      <c r="L49" s="150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49">
        <f t="shared" si="1"/>
        <v>3</v>
      </c>
      <c r="L50" s="150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40</v>
      </c>
      <c r="F51" s="159">
        <v>2.0</v>
      </c>
      <c r="G51" s="31" t="s">
        <v>24</v>
      </c>
      <c r="H51" s="13">
        <v>1.0</v>
      </c>
      <c r="I51" s="17" t="s">
        <v>117</v>
      </c>
      <c r="K51" s="149">
        <f t="shared" si="1"/>
        <v>2</v>
      </c>
      <c r="L51" s="150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59">
        <v>2.0</v>
      </c>
      <c r="G52" s="31" t="s">
        <v>24</v>
      </c>
      <c r="H52" s="13">
        <v>0.0</v>
      </c>
      <c r="I52" s="17" t="s">
        <v>118</v>
      </c>
      <c r="K52" s="149">
        <f t="shared" si="1"/>
        <v>3</v>
      </c>
      <c r="L52" s="150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36</v>
      </c>
      <c r="F53" s="159">
        <v>2.0</v>
      </c>
      <c r="G53" s="31" t="s">
        <v>24</v>
      </c>
      <c r="H53" s="13">
        <v>0.0</v>
      </c>
      <c r="I53" s="17" t="s">
        <v>121</v>
      </c>
      <c r="K53" s="149">
        <f t="shared" si="1"/>
        <v>3</v>
      </c>
      <c r="L53" s="150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101</v>
      </c>
      <c r="F54" s="159">
        <v>2.0</v>
      </c>
      <c r="G54" s="31" t="s">
        <v>24</v>
      </c>
      <c r="H54" s="13">
        <v>0.0</v>
      </c>
      <c r="I54" s="14" t="s">
        <v>25</v>
      </c>
      <c r="K54" s="149">
        <f t="shared" si="1"/>
        <v>3</v>
      </c>
      <c r="L54" s="150">
        <f t="shared" si="2"/>
        <v>0</v>
      </c>
      <c r="AA54" s="3"/>
      <c r="AB54" s="147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59">
        <v>2.0</v>
      </c>
      <c r="G55" s="31" t="s">
        <v>24</v>
      </c>
      <c r="H55" s="13">
        <v>1.0</v>
      </c>
      <c r="I55" s="17" t="s">
        <v>43</v>
      </c>
      <c r="K55" s="149">
        <f t="shared" si="1"/>
        <v>2</v>
      </c>
      <c r="L55" s="150">
        <f t="shared" si="2"/>
        <v>1</v>
      </c>
      <c r="AA55" s="3"/>
      <c r="AB55" s="147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120</v>
      </c>
      <c r="F56" s="159">
        <v>2.0</v>
      </c>
      <c r="G56" s="31" t="s">
        <v>24</v>
      </c>
      <c r="H56" s="13">
        <v>0.0</v>
      </c>
      <c r="I56" s="17" t="s">
        <v>67</v>
      </c>
      <c r="K56" s="149">
        <f t="shared" si="1"/>
        <v>3</v>
      </c>
      <c r="L56" s="150">
        <f t="shared" si="2"/>
        <v>0</v>
      </c>
      <c r="AA56" s="3"/>
      <c r="AB56" s="147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120</v>
      </c>
      <c r="F57" s="13">
        <v>2.0</v>
      </c>
      <c r="G57" s="31" t="s">
        <v>24</v>
      </c>
      <c r="H57" s="13">
        <v>0.0</v>
      </c>
      <c r="I57" s="17" t="s">
        <v>117</v>
      </c>
      <c r="K57" s="149">
        <f t="shared" si="1"/>
        <v>3</v>
      </c>
      <c r="L57" s="150">
        <f t="shared" si="2"/>
        <v>0</v>
      </c>
      <c r="AA57" s="3"/>
      <c r="AB57" s="147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118</v>
      </c>
      <c r="F58" s="13">
        <v>0.0</v>
      </c>
      <c r="G58" s="31" t="s">
        <v>24</v>
      </c>
      <c r="H58" s="13">
        <v>2.0</v>
      </c>
      <c r="I58" s="17" t="s">
        <v>40</v>
      </c>
      <c r="K58" s="149">
        <f t="shared" si="1"/>
        <v>0</v>
      </c>
      <c r="L58" s="150">
        <f t="shared" si="2"/>
        <v>3</v>
      </c>
      <c r="AA58" s="3"/>
      <c r="AB58" s="147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121</v>
      </c>
      <c r="F59" s="13">
        <v>2.0</v>
      </c>
      <c r="G59" s="31" t="s">
        <v>24</v>
      </c>
      <c r="H59" s="13">
        <v>0.0</v>
      </c>
      <c r="I59" s="17" t="s">
        <v>66</v>
      </c>
      <c r="K59" s="149">
        <f t="shared" si="1"/>
        <v>3</v>
      </c>
      <c r="L59" s="150">
        <f t="shared" si="2"/>
        <v>0</v>
      </c>
      <c r="AA59" s="3"/>
      <c r="AB59" s="147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35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36</v>
      </c>
      <c r="K60" s="149">
        <f t="shared" si="1"/>
        <v>0</v>
      </c>
      <c r="L60" s="150">
        <f t="shared" si="2"/>
        <v>3</v>
      </c>
      <c r="AA60" s="3"/>
      <c r="AB60" s="147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35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101</v>
      </c>
      <c r="K61" s="149">
        <f t="shared" si="1"/>
        <v>3</v>
      </c>
      <c r="L61" s="150">
        <f t="shared" si="2"/>
        <v>0</v>
      </c>
      <c r="AA61" s="3"/>
      <c r="AB61" s="147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35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49">
        <f t="shared" si="1"/>
        <v>0</v>
      </c>
      <c r="L62" s="150">
        <f t="shared" si="2"/>
        <v>3</v>
      </c>
      <c r="AA62" s="3"/>
      <c r="AB62" s="147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117</v>
      </c>
      <c r="F63" s="13">
        <v>2.0</v>
      </c>
      <c r="G63" s="31" t="s">
        <v>24</v>
      </c>
      <c r="H63" s="13">
        <v>1.0</v>
      </c>
      <c r="I63" s="17" t="s">
        <v>118</v>
      </c>
      <c r="K63" s="149">
        <f t="shared" si="1"/>
        <v>2</v>
      </c>
      <c r="L63" s="150">
        <f t="shared" si="2"/>
        <v>1</v>
      </c>
      <c r="AA63" s="3"/>
      <c r="AB63" s="147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40</v>
      </c>
      <c r="F64" s="13">
        <v>2.0</v>
      </c>
      <c r="G64" s="31" t="s">
        <v>24</v>
      </c>
      <c r="H64" s="13">
        <v>0.0</v>
      </c>
      <c r="I64" s="17" t="s">
        <v>121</v>
      </c>
      <c r="K64" s="149">
        <f t="shared" si="1"/>
        <v>3</v>
      </c>
      <c r="L64" s="150">
        <f t="shared" si="2"/>
        <v>0</v>
      </c>
      <c r="AA64" s="3"/>
      <c r="AB64" s="147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13">
        <v>1.0</v>
      </c>
      <c r="G65" s="31" t="s">
        <v>24</v>
      </c>
      <c r="H65" s="13">
        <v>2.0</v>
      </c>
      <c r="I65" s="17" t="s">
        <v>25</v>
      </c>
      <c r="K65" s="149">
        <f t="shared" si="1"/>
        <v>1</v>
      </c>
      <c r="L65" s="150">
        <f t="shared" si="2"/>
        <v>2</v>
      </c>
      <c r="AA65" s="3"/>
      <c r="AB65" s="147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35</v>
      </c>
      <c r="D66" s="12" t="s">
        <v>22</v>
      </c>
      <c r="E66" s="17" t="s">
        <v>36</v>
      </c>
      <c r="F66" s="13">
        <v>2.0</v>
      </c>
      <c r="G66" s="31" t="s">
        <v>24</v>
      </c>
      <c r="H66" s="13">
        <v>1.0</v>
      </c>
      <c r="I66" s="17" t="s">
        <v>43</v>
      </c>
      <c r="K66" s="149">
        <f t="shared" si="1"/>
        <v>2</v>
      </c>
      <c r="L66" s="150">
        <f t="shared" si="2"/>
        <v>1</v>
      </c>
      <c r="AA66" s="3"/>
      <c r="AB66" s="147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35</v>
      </c>
      <c r="D67" s="12" t="s">
        <v>22</v>
      </c>
      <c r="E67" s="17" t="s">
        <v>101</v>
      </c>
      <c r="F67" s="13">
        <v>2.0</v>
      </c>
      <c r="G67" s="31" t="s">
        <v>24</v>
      </c>
      <c r="H67" s="13">
        <v>1.0</v>
      </c>
      <c r="I67" s="17" t="s">
        <v>67</v>
      </c>
      <c r="K67" s="149">
        <f t="shared" si="1"/>
        <v>2</v>
      </c>
      <c r="L67" s="150">
        <f t="shared" si="2"/>
        <v>1</v>
      </c>
      <c r="R67" s="148"/>
      <c r="S67" s="148"/>
      <c r="T67" s="148"/>
      <c r="U67" s="148"/>
      <c r="V67" s="148"/>
      <c r="AA67" s="3"/>
      <c r="AB67" s="147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35</v>
      </c>
      <c r="D68" s="12" t="s">
        <v>22</v>
      </c>
      <c r="E68" s="17" t="s">
        <v>33</v>
      </c>
      <c r="F68" s="13">
        <v>2.0</v>
      </c>
      <c r="G68" s="31" t="s">
        <v>24</v>
      </c>
      <c r="H68" s="13">
        <v>1.0</v>
      </c>
      <c r="I68" s="17" t="s">
        <v>120</v>
      </c>
      <c r="K68" s="149">
        <f t="shared" si="1"/>
        <v>2</v>
      </c>
      <c r="L68" s="150">
        <f t="shared" si="2"/>
        <v>1</v>
      </c>
      <c r="R68" s="148"/>
      <c r="S68" s="148"/>
      <c r="T68" s="148"/>
      <c r="U68" s="148"/>
      <c r="V68" s="148"/>
      <c r="AA68" s="3"/>
      <c r="AB68" s="147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0"/>
      <c r="B69" s="161"/>
      <c r="C69" s="161"/>
      <c r="D69" s="161"/>
      <c r="E69" s="1"/>
      <c r="F69" s="161"/>
      <c r="G69" s="161"/>
      <c r="I69" s="147"/>
      <c r="AA69" s="3"/>
      <c r="AB69" s="147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0"/>
      <c r="B70" s="161"/>
      <c r="C70" s="161"/>
      <c r="D70" s="161"/>
      <c r="E70" s="1"/>
      <c r="F70" s="161"/>
      <c r="G70" s="161"/>
      <c r="I70" s="147"/>
      <c r="AA70" s="3"/>
      <c r="AB70" s="147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0"/>
      <c r="B71" s="161"/>
      <c r="C71" s="161"/>
      <c r="D71" s="161"/>
      <c r="E71" s="1"/>
      <c r="F71" s="161"/>
      <c r="G71" s="161"/>
      <c r="I71" s="147"/>
      <c r="AA71" s="3"/>
      <c r="AB71" s="147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0" t="s">
        <v>227</v>
      </c>
      <c r="I72" s="147"/>
      <c r="AA72" s="3"/>
      <c r="AB72" s="147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210</v>
      </c>
      <c r="U73" s="9" t="s">
        <v>211</v>
      </c>
      <c r="V73" s="9" t="s">
        <v>212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210</v>
      </c>
      <c r="AH73" s="5" t="s">
        <v>211</v>
      </c>
      <c r="AI73" s="5" t="s">
        <v>212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155</v>
      </c>
      <c r="F74" s="13">
        <v>0.0</v>
      </c>
      <c r="G74" s="31" t="s">
        <v>24</v>
      </c>
      <c r="H74" s="13">
        <v>2.0</v>
      </c>
      <c r="I74" s="17" t="s">
        <v>58</v>
      </c>
      <c r="J74" s="148"/>
      <c r="K74" s="149">
        <f t="shared" ref="K74:K139" si="9">IFS(F74=H74+2,3,F74=H74-2,0,F74=H74+1,2,F74=H74-1,1,F74="","")</f>
        <v>0</v>
      </c>
      <c r="L74" s="150">
        <f t="shared" ref="L74:L139" si="10">IFS(H74=F74+2,3,H74=F74-2,0,H74=F74+1,2,H74=F74-1,1,H74="","")</f>
        <v>3</v>
      </c>
      <c r="M74" s="148"/>
      <c r="N74" s="150">
        <v>1.0</v>
      </c>
      <c r="O74" s="151" t="s">
        <v>155</v>
      </c>
      <c r="P74" s="150">
        <f t="shared" ref="P74:P84" si="11">SUMIF(E$74:E$139,O74,K$74:K$139)+SUMIF(I$74:I$139,O74,L$74:L$139)</f>
        <v>24</v>
      </c>
      <c r="Q74" s="152">
        <f t="shared" ref="Q74:Q84" si="12">COUNTIFS(E$74:E$139,O74,K$74:K$139,2)+COUNTIFS(I$74:I$139,O74,L$74:L$139,2)+COUNTIFS(E$74:E$139,O74,K$74:K$139,3)+COUNTIFS(I$74:I$139,O74,L$74:L$139,3)</f>
        <v>8</v>
      </c>
      <c r="R74" s="153"/>
      <c r="S74" s="153">
        <f t="shared" ref="S74:S84" si="13">COUNTIFS(E$74:E$139,O74,K$74:K$139,1)+COUNTIFS(I$74:I$139,O74,L$74:L$139,1)+COUNTIFS(E$74:E$139,O74,K$74:K$139,0)+COUNTIFS(I$74:I$139,O74,L$74:L$139,0)</f>
        <v>2</v>
      </c>
      <c r="T74" s="150">
        <f t="shared" ref="T74:T84" si="14">SUMIF(E$74:E$139,O74,F$74:F$139)+SUMIF(I$74:I$139,O74,H$74:H$139)</f>
        <v>17</v>
      </c>
      <c r="U74" s="153">
        <f t="shared" ref="U74:U84" si="15">SUMIF(E$74:E$139,O74,H$74:H$139)+SUMIF(I$74:I$139,O74,F$74:F$139)</f>
        <v>5</v>
      </c>
      <c r="V74" s="150">
        <f t="shared" ref="V74:V84" si="16">T74-U74</f>
        <v>12</v>
      </c>
      <c r="X74" s="136" t="s">
        <v>26</v>
      </c>
      <c r="Y74" s="136" t="s">
        <v>13</v>
      </c>
      <c r="AA74" s="45" t="s">
        <v>29</v>
      </c>
      <c r="AB74" s="70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203</v>
      </c>
      <c r="F75" s="13">
        <v>0.0</v>
      </c>
      <c r="G75" s="31" t="s">
        <v>24</v>
      </c>
      <c r="H75" s="13">
        <v>2.0</v>
      </c>
      <c r="I75" s="17" t="s">
        <v>170</v>
      </c>
      <c r="J75" s="148"/>
      <c r="K75" s="149">
        <f t="shared" si="9"/>
        <v>0</v>
      </c>
      <c r="L75" s="150">
        <f t="shared" si="10"/>
        <v>3</v>
      </c>
      <c r="M75" s="148"/>
      <c r="N75" s="150">
        <v>2.0</v>
      </c>
      <c r="O75" s="151" t="s">
        <v>32</v>
      </c>
      <c r="P75" s="150">
        <f t="shared" si="11"/>
        <v>8</v>
      </c>
      <c r="Q75" s="152">
        <f t="shared" si="12"/>
        <v>2</v>
      </c>
      <c r="R75" s="153"/>
      <c r="S75" s="153">
        <f t="shared" si="13"/>
        <v>8</v>
      </c>
      <c r="T75" s="150">
        <f t="shared" si="14"/>
        <v>7</v>
      </c>
      <c r="U75" s="153">
        <f t="shared" si="15"/>
        <v>17</v>
      </c>
      <c r="V75" s="150">
        <f t="shared" si="16"/>
        <v>-10</v>
      </c>
      <c r="X75" s="137" t="s">
        <v>33</v>
      </c>
      <c r="Y75" s="137">
        <v>3.0</v>
      </c>
      <c r="AA75" s="125" t="s">
        <v>119</v>
      </c>
      <c r="AB75" s="70" t="s">
        <v>155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37</v>
      </c>
      <c r="J76" s="148"/>
      <c r="K76" s="149">
        <f t="shared" si="9"/>
        <v>3</v>
      </c>
      <c r="L76" s="150">
        <f t="shared" si="10"/>
        <v>0</v>
      </c>
      <c r="M76" s="148"/>
      <c r="N76" s="150">
        <v>3.0</v>
      </c>
      <c r="O76" s="151" t="s">
        <v>58</v>
      </c>
      <c r="P76" s="150">
        <f t="shared" si="11"/>
        <v>27</v>
      </c>
      <c r="Q76" s="152">
        <f t="shared" si="12"/>
        <v>10</v>
      </c>
      <c r="R76" s="153"/>
      <c r="S76" s="153">
        <f t="shared" si="13"/>
        <v>0</v>
      </c>
      <c r="T76" s="150">
        <f t="shared" si="14"/>
        <v>20</v>
      </c>
      <c r="U76" s="153">
        <f t="shared" si="15"/>
        <v>3</v>
      </c>
      <c r="V76" s="150">
        <f t="shared" si="16"/>
        <v>17</v>
      </c>
      <c r="X76" s="137" t="s">
        <v>41</v>
      </c>
      <c r="Y76" s="137">
        <v>0.0</v>
      </c>
      <c r="AA76" s="22">
        <v>3.0</v>
      </c>
      <c r="AB76" s="70" t="s">
        <v>170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48"/>
      <c r="K77" s="149">
        <f t="shared" si="9"/>
        <v>0</v>
      </c>
      <c r="L77" s="150">
        <f t="shared" si="10"/>
        <v>3</v>
      </c>
      <c r="M77" s="148"/>
      <c r="N77" s="150">
        <v>4.0</v>
      </c>
      <c r="O77" s="151" t="s">
        <v>183</v>
      </c>
      <c r="P77" s="150">
        <f t="shared" si="11"/>
        <v>16</v>
      </c>
      <c r="Q77" s="152">
        <f t="shared" si="12"/>
        <v>5</v>
      </c>
      <c r="R77" s="153"/>
      <c r="S77" s="153">
        <f t="shared" si="13"/>
        <v>5</v>
      </c>
      <c r="T77" s="150">
        <f t="shared" si="14"/>
        <v>12</v>
      </c>
      <c r="U77" s="153">
        <f t="shared" si="15"/>
        <v>11</v>
      </c>
      <c r="V77" s="150">
        <f t="shared" si="16"/>
        <v>1</v>
      </c>
      <c r="AA77" s="22">
        <v>4.0</v>
      </c>
      <c r="AB77" s="70" t="s">
        <v>23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183</v>
      </c>
      <c r="F78" s="13">
        <v>2.0</v>
      </c>
      <c r="G78" s="31" t="s">
        <v>24</v>
      </c>
      <c r="H78" s="13">
        <v>0.0</v>
      </c>
      <c r="I78" s="17" t="s">
        <v>228</v>
      </c>
      <c r="J78" s="148"/>
      <c r="K78" s="149">
        <f t="shared" si="9"/>
        <v>3</v>
      </c>
      <c r="L78" s="150">
        <f t="shared" si="10"/>
        <v>0</v>
      </c>
      <c r="M78" s="148"/>
      <c r="N78" s="150">
        <v>5.0</v>
      </c>
      <c r="O78" s="151" t="s">
        <v>170</v>
      </c>
      <c r="P78" s="150">
        <f t="shared" si="11"/>
        <v>24</v>
      </c>
      <c r="Q78" s="152">
        <f t="shared" si="12"/>
        <v>8</v>
      </c>
      <c r="R78" s="153"/>
      <c r="S78" s="153">
        <f t="shared" si="13"/>
        <v>2</v>
      </c>
      <c r="T78" s="150">
        <f t="shared" si="14"/>
        <v>17</v>
      </c>
      <c r="U78" s="153">
        <f t="shared" si="15"/>
        <v>5</v>
      </c>
      <c r="V78" s="150">
        <f t="shared" si="16"/>
        <v>12</v>
      </c>
      <c r="AA78" s="22">
        <v>5.0</v>
      </c>
      <c r="AB78" s="70" t="s">
        <v>183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2"/>
      <c r="C79" s="163"/>
      <c r="D79" s="164"/>
      <c r="E79" s="17">
        <v>0.0</v>
      </c>
      <c r="F79" s="31"/>
      <c r="G79" s="31" t="s">
        <v>24</v>
      </c>
      <c r="H79" s="31"/>
      <c r="I79" s="17" t="s">
        <v>32</v>
      </c>
      <c r="J79" s="148"/>
      <c r="K79" s="149" t="str">
        <f t="shared" si="9"/>
        <v/>
      </c>
      <c r="L79" s="150" t="str">
        <f t="shared" si="10"/>
        <v/>
      </c>
      <c r="M79" s="148"/>
      <c r="N79" s="150">
        <v>6.0</v>
      </c>
      <c r="O79" s="151" t="s">
        <v>63</v>
      </c>
      <c r="P79" s="150">
        <f t="shared" si="11"/>
        <v>0</v>
      </c>
      <c r="Q79" s="152">
        <f t="shared" si="12"/>
        <v>0</v>
      </c>
      <c r="R79" s="153"/>
      <c r="S79" s="153">
        <f t="shared" si="13"/>
        <v>10</v>
      </c>
      <c r="T79" s="150">
        <f t="shared" si="14"/>
        <v>0</v>
      </c>
      <c r="U79" s="153">
        <f t="shared" si="15"/>
        <v>20</v>
      </c>
      <c r="V79" s="150">
        <f t="shared" si="16"/>
        <v>-20</v>
      </c>
      <c r="AA79" s="22">
        <v>6.0</v>
      </c>
      <c r="AB79" s="70" t="s">
        <v>228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5">
        <v>2.0</v>
      </c>
      <c r="B80" s="162"/>
      <c r="C80" s="163"/>
      <c r="D80" s="164"/>
      <c r="E80" s="17" t="s">
        <v>58</v>
      </c>
      <c r="F80" s="31"/>
      <c r="G80" s="31" t="s">
        <v>24</v>
      </c>
      <c r="H80" s="31"/>
      <c r="I80" s="17">
        <v>0.0</v>
      </c>
      <c r="J80" s="148"/>
      <c r="K80" s="149" t="str">
        <f t="shared" si="9"/>
        <v/>
      </c>
      <c r="L80" s="150" t="str">
        <f t="shared" si="10"/>
        <v/>
      </c>
      <c r="M80" s="148"/>
      <c r="N80" s="150">
        <v>7.0</v>
      </c>
      <c r="O80" s="151" t="s">
        <v>37</v>
      </c>
      <c r="P80" s="150">
        <f t="shared" si="11"/>
        <v>10</v>
      </c>
      <c r="Q80" s="152">
        <f t="shared" si="12"/>
        <v>4</v>
      </c>
      <c r="R80" s="153"/>
      <c r="S80" s="153">
        <f t="shared" si="13"/>
        <v>6</v>
      </c>
      <c r="T80" s="150">
        <f t="shared" si="14"/>
        <v>8</v>
      </c>
      <c r="U80" s="153">
        <f t="shared" si="15"/>
        <v>14</v>
      </c>
      <c r="V80" s="150">
        <f t="shared" si="16"/>
        <v>-6</v>
      </c>
      <c r="AA80" s="22">
        <v>7.0</v>
      </c>
      <c r="AB80" s="70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170</v>
      </c>
      <c r="F81" s="13">
        <v>0.0</v>
      </c>
      <c r="G81" s="31" t="s">
        <v>24</v>
      </c>
      <c r="H81" s="13">
        <v>2.0</v>
      </c>
      <c r="I81" s="17" t="s">
        <v>155</v>
      </c>
      <c r="J81" s="148"/>
      <c r="K81" s="149">
        <f t="shared" si="9"/>
        <v>0</v>
      </c>
      <c r="L81" s="150">
        <f t="shared" si="10"/>
        <v>3</v>
      </c>
      <c r="M81" s="148"/>
      <c r="N81" s="150">
        <v>8.0</v>
      </c>
      <c r="O81" s="151" t="s">
        <v>23</v>
      </c>
      <c r="P81" s="150">
        <f t="shared" si="11"/>
        <v>19</v>
      </c>
      <c r="Q81" s="152">
        <f t="shared" si="12"/>
        <v>7</v>
      </c>
      <c r="R81" s="153"/>
      <c r="S81" s="153">
        <f t="shared" si="13"/>
        <v>3</v>
      </c>
      <c r="T81" s="150">
        <f t="shared" si="14"/>
        <v>15</v>
      </c>
      <c r="U81" s="153">
        <f t="shared" si="15"/>
        <v>9</v>
      </c>
      <c r="V81" s="150">
        <f t="shared" si="16"/>
        <v>6</v>
      </c>
      <c r="AA81" s="22">
        <v>8.0</v>
      </c>
      <c r="AB81" s="70" t="s">
        <v>37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37</v>
      </c>
      <c r="F82" s="13">
        <v>0.0</v>
      </c>
      <c r="G82" s="31" t="s">
        <v>24</v>
      </c>
      <c r="H82" s="13">
        <v>2.0</v>
      </c>
      <c r="I82" s="17" t="s">
        <v>203</v>
      </c>
      <c r="J82" s="148"/>
      <c r="K82" s="149">
        <f t="shared" si="9"/>
        <v>0</v>
      </c>
      <c r="L82" s="150">
        <f t="shared" si="10"/>
        <v>3</v>
      </c>
      <c r="M82" s="148"/>
      <c r="N82" s="150">
        <v>9.0</v>
      </c>
      <c r="O82" s="151" t="s">
        <v>61</v>
      </c>
      <c r="P82" s="150">
        <f t="shared" si="11"/>
        <v>13</v>
      </c>
      <c r="Q82" s="152">
        <f t="shared" si="12"/>
        <v>5</v>
      </c>
      <c r="R82" s="153"/>
      <c r="S82" s="153">
        <f t="shared" si="13"/>
        <v>5</v>
      </c>
      <c r="T82" s="150">
        <f t="shared" si="14"/>
        <v>11</v>
      </c>
      <c r="U82" s="153">
        <f t="shared" si="15"/>
        <v>13</v>
      </c>
      <c r="V82" s="150">
        <f t="shared" si="16"/>
        <v>-2</v>
      </c>
      <c r="AA82" s="22">
        <v>9.0</v>
      </c>
      <c r="AB82" s="70" t="s">
        <v>203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48"/>
      <c r="K83" s="149">
        <f t="shared" si="9"/>
        <v>1</v>
      </c>
      <c r="L83" s="150">
        <f t="shared" si="10"/>
        <v>2</v>
      </c>
      <c r="M83" s="148"/>
      <c r="N83" s="150">
        <v>10.0</v>
      </c>
      <c r="O83" s="151" t="s">
        <v>203</v>
      </c>
      <c r="P83" s="150">
        <f t="shared" si="11"/>
        <v>10</v>
      </c>
      <c r="Q83" s="152">
        <f t="shared" si="12"/>
        <v>3</v>
      </c>
      <c r="R83" s="153"/>
      <c r="S83" s="153">
        <f t="shared" si="13"/>
        <v>7</v>
      </c>
      <c r="T83" s="150">
        <f t="shared" si="14"/>
        <v>7</v>
      </c>
      <c r="U83" s="153">
        <f t="shared" si="15"/>
        <v>14</v>
      </c>
      <c r="V83" s="150">
        <f t="shared" si="16"/>
        <v>-7</v>
      </c>
      <c r="AA83" s="22">
        <v>10.0</v>
      </c>
      <c r="AB83" s="70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228</v>
      </c>
      <c r="F84" s="13">
        <v>2.0</v>
      </c>
      <c r="G84" s="31" t="s">
        <v>24</v>
      </c>
      <c r="H84" s="13">
        <v>0.0</v>
      </c>
      <c r="I84" s="14" t="s">
        <v>63</v>
      </c>
      <c r="J84" s="148"/>
      <c r="K84" s="149">
        <f t="shared" si="9"/>
        <v>3</v>
      </c>
      <c r="L84" s="150">
        <f t="shared" si="10"/>
        <v>0</v>
      </c>
      <c r="M84" s="148"/>
      <c r="N84" s="165">
        <v>11.0</v>
      </c>
      <c r="O84" s="165" t="s">
        <v>228</v>
      </c>
      <c r="P84" s="150">
        <f t="shared" si="11"/>
        <v>14</v>
      </c>
      <c r="Q84" s="152">
        <f t="shared" si="12"/>
        <v>3</v>
      </c>
      <c r="S84" s="153">
        <f t="shared" si="13"/>
        <v>7</v>
      </c>
      <c r="T84" s="150">
        <f t="shared" si="14"/>
        <v>11</v>
      </c>
      <c r="U84" s="153">
        <f t="shared" si="15"/>
        <v>14</v>
      </c>
      <c r="V84" s="150">
        <f t="shared" si="16"/>
        <v>-3</v>
      </c>
      <c r="AA84" s="52">
        <v>11.0</v>
      </c>
      <c r="AB84" s="70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6" t="s">
        <v>35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183</v>
      </c>
      <c r="J85" s="148"/>
      <c r="K85" s="149">
        <f t="shared" si="9"/>
        <v>0</v>
      </c>
      <c r="L85" s="150">
        <f t="shared" si="10"/>
        <v>3</v>
      </c>
      <c r="M85" s="148"/>
      <c r="AA85" s="35" t="s">
        <v>229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35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170</v>
      </c>
      <c r="J86" s="148"/>
      <c r="K86" s="149">
        <f t="shared" si="9"/>
        <v>2</v>
      </c>
      <c r="L86" s="150">
        <f t="shared" si="10"/>
        <v>1</v>
      </c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AA86" s="79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35</v>
      </c>
      <c r="D87" s="12" t="s">
        <v>22</v>
      </c>
      <c r="E87" s="17" t="s">
        <v>155</v>
      </c>
      <c r="F87" s="13">
        <v>2.0</v>
      </c>
      <c r="G87" s="31" t="s">
        <v>24</v>
      </c>
      <c r="H87" s="13">
        <v>0.0</v>
      </c>
      <c r="I87" s="17" t="s">
        <v>37</v>
      </c>
      <c r="J87" s="148"/>
      <c r="K87" s="149">
        <f t="shared" si="9"/>
        <v>3</v>
      </c>
      <c r="L87" s="150">
        <f t="shared" si="10"/>
        <v>0</v>
      </c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AA87" s="157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185</v>
      </c>
      <c r="D88" s="12" t="s">
        <v>22</v>
      </c>
      <c r="E88" s="17" t="s">
        <v>203</v>
      </c>
      <c r="F88" s="13">
        <v>1.0</v>
      </c>
      <c r="G88" s="31" t="s">
        <v>24</v>
      </c>
      <c r="H88" s="13">
        <v>2.0</v>
      </c>
      <c r="I88" s="17" t="s">
        <v>61</v>
      </c>
      <c r="J88" s="148"/>
      <c r="K88" s="149">
        <f t="shared" si="9"/>
        <v>1</v>
      </c>
      <c r="L88" s="150">
        <f t="shared" si="10"/>
        <v>2</v>
      </c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228</v>
      </c>
      <c r="J89" s="158"/>
      <c r="K89" s="149">
        <f t="shared" si="9"/>
        <v>2</v>
      </c>
      <c r="L89" s="150">
        <f t="shared" si="10"/>
        <v>1</v>
      </c>
      <c r="M89" s="148"/>
      <c r="N89" s="148"/>
      <c r="O89" s="148"/>
      <c r="P89" s="148"/>
      <c r="R89" s="148"/>
      <c r="S89" s="148"/>
      <c r="T89" s="148"/>
      <c r="U89" s="148"/>
      <c r="V89" s="148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48"/>
      <c r="K90" s="149">
        <f t="shared" si="9"/>
        <v>0</v>
      </c>
      <c r="L90" s="150">
        <f t="shared" si="10"/>
        <v>3</v>
      </c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AG90" s="3"/>
      <c r="AH90" s="3"/>
      <c r="AI90" s="3"/>
      <c r="AJ90" s="3"/>
    </row>
    <row r="91" ht="15.75" customHeight="1">
      <c r="A91" s="29"/>
      <c r="B91" s="162"/>
      <c r="C91" s="164"/>
      <c r="D91" s="164"/>
      <c r="E91" s="17">
        <v>0.0</v>
      </c>
      <c r="F91" s="31"/>
      <c r="G91" s="31" t="s">
        <v>24</v>
      </c>
      <c r="H91" s="31"/>
      <c r="I91" s="17" t="s">
        <v>183</v>
      </c>
      <c r="J91" s="148"/>
      <c r="K91" s="149" t="str">
        <f t="shared" si="9"/>
        <v/>
      </c>
      <c r="L91" s="150" t="str">
        <f t="shared" si="10"/>
        <v/>
      </c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AG91" s="3"/>
      <c r="AH91" s="3"/>
      <c r="AI91" s="3"/>
      <c r="AJ91" s="3"/>
    </row>
    <row r="92" ht="15.75" customHeight="1">
      <c r="A92" s="143">
        <v>4.0</v>
      </c>
      <c r="B92" s="162"/>
      <c r="C92" s="164"/>
      <c r="D92" s="164"/>
      <c r="E92" s="17" t="s">
        <v>170</v>
      </c>
      <c r="F92" s="31"/>
      <c r="G92" s="31" t="s">
        <v>24</v>
      </c>
      <c r="H92" s="31"/>
      <c r="I92" s="17">
        <v>0.0</v>
      </c>
      <c r="J92" s="148"/>
      <c r="K92" s="149" t="str">
        <f t="shared" si="9"/>
        <v/>
      </c>
      <c r="L92" s="150" t="str">
        <f t="shared" si="10"/>
        <v/>
      </c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37</v>
      </c>
      <c r="F93" s="13">
        <v>0.0</v>
      </c>
      <c r="G93" s="31" t="s">
        <v>24</v>
      </c>
      <c r="H93" s="13">
        <v>2.0</v>
      </c>
      <c r="I93" s="17" t="s">
        <v>58</v>
      </c>
      <c r="J93" s="148"/>
      <c r="K93" s="149">
        <f t="shared" si="9"/>
        <v>0</v>
      </c>
      <c r="L93" s="150">
        <f t="shared" si="10"/>
        <v>3</v>
      </c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155</v>
      </c>
      <c r="J94" s="148"/>
      <c r="K94" s="149">
        <f t="shared" si="9"/>
        <v>0</v>
      </c>
      <c r="L94" s="150">
        <f t="shared" si="10"/>
        <v>3</v>
      </c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228</v>
      </c>
      <c r="F95" s="13">
        <v>2.0</v>
      </c>
      <c r="G95" s="31" t="s">
        <v>24</v>
      </c>
      <c r="H95" s="13">
        <v>0.0</v>
      </c>
      <c r="I95" s="17" t="s">
        <v>203</v>
      </c>
      <c r="J95" s="148"/>
      <c r="K95" s="149">
        <f t="shared" si="9"/>
        <v>3</v>
      </c>
      <c r="L95" s="150">
        <f t="shared" si="10"/>
        <v>0</v>
      </c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AA95" s="3"/>
      <c r="AB95" s="147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48"/>
      <c r="K96" s="149">
        <f t="shared" si="9"/>
        <v>1</v>
      </c>
      <c r="L96" s="150">
        <f t="shared" si="10"/>
        <v>2</v>
      </c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AA96" s="3"/>
      <c r="AB96" s="147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183</v>
      </c>
      <c r="F97" s="13">
        <v>2.0</v>
      </c>
      <c r="G97" s="31" t="s">
        <v>24</v>
      </c>
      <c r="H97" s="13">
        <v>0.0</v>
      </c>
      <c r="I97" s="17" t="s">
        <v>63</v>
      </c>
      <c r="J97" s="148"/>
      <c r="K97" s="149">
        <f t="shared" si="9"/>
        <v>3</v>
      </c>
      <c r="L97" s="150">
        <f t="shared" si="10"/>
        <v>0</v>
      </c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AA97" s="3"/>
      <c r="AB97" s="147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170</v>
      </c>
      <c r="F98" s="13">
        <v>2.0</v>
      </c>
      <c r="G98" s="31" t="s">
        <v>24</v>
      </c>
      <c r="H98" s="13">
        <v>0.0</v>
      </c>
      <c r="I98" s="17" t="s">
        <v>37</v>
      </c>
      <c r="J98" s="148"/>
      <c r="K98" s="149">
        <f t="shared" si="9"/>
        <v>3</v>
      </c>
      <c r="L98" s="150">
        <f t="shared" si="10"/>
        <v>0</v>
      </c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AA98" s="3"/>
      <c r="AB98" s="147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59">
        <v>2.0</v>
      </c>
      <c r="G99" s="31" t="s">
        <v>24</v>
      </c>
      <c r="H99" s="13">
        <v>0.0</v>
      </c>
      <c r="I99" s="17" t="s">
        <v>61</v>
      </c>
      <c r="J99" s="148"/>
      <c r="K99" s="149">
        <f t="shared" si="9"/>
        <v>3</v>
      </c>
      <c r="L99" s="150">
        <f t="shared" si="10"/>
        <v>0</v>
      </c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AA99" s="3"/>
      <c r="AB99" s="147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155</v>
      </c>
      <c r="F100" s="159">
        <v>2.0</v>
      </c>
      <c r="G100" s="31" t="s">
        <v>24</v>
      </c>
      <c r="H100" s="13">
        <v>1.0</v>
      </c>
      <c r="I100" s="17" t="s">
        <v>228</v>
      </c>
      <c r="J100" s="148"/>
      <c r="K100" s="149">
        <f t="shared" si="9"/>
        <v>2</v>
      </c>
      <c r="L100" s="150">
        <f t="shared" si="10"/>
        <v>1</v>
      </c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AA100" s="3"/>
      <c r="AB100" s="147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203</v>
      </c>
      <c r="F101" s="159">
        <v>2.0</v>
      </c>
      <c r="G101" s="31" t="s">
        <v>24</v>
      </c>
      <c r="H101" s="13">
        <v>0.0</v>
      </c>
      <c r="I101" s="17" t="s">
        <v>32</v>
      </c>
      <c r="J101" s="148"/>
      <c r="K101" s="149">
        <f t="shared" si="9"/>
        <v>3</v>
      </c>
      <c r="L101" s="150">
        <f t="shared" si="10"/>
        <v>0</v>
      </c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AA101" s="3"/>
      <c r="AB101" s="147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59">
        <v>2.0</v>
      </c>
      <c r="G102" s="31" t="s">
        <v>24</v>
      </c>
      <c r="H102" s="13">
        <v>0.0</v>
      </c>
      <c r="I102" s="17" t="s">
        <v>183</v>
      </c>
      <c r="J102" s="148"/>
      <c r="K102" s="149">
        <f t="shared" si="9"/>
        <v>3</v>
      </c>
      <c r="L102" s="150">
        <f t="shared" si="10"/>
        <v>0</v>
      </c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AA102" s="3"/>
      <c r="AB102" s="147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2"/>
      <c r="C103" s="164"/>
      <c r="D103" s="164"/>
      <c r="E103" s="17">
        <v>0.0</v>
      </c>
      <c r="F103" s="164"/>
      <c r="G103" s="31" t="s">
        <v>24</v>
      </c>
      <c r="H103" s="31"/>
      <c r="I103" s="17" t="s">
        <v>63</v>
      </c>
      <c r="J103" s="148"/>
      <c r="K103" s="149" t="str">
        <f t="shared" si="9"/>
        <v/>
      </c>
      <c r="L103" s="150" t="str">
        <f t="shared" si="10"/>
        <v/>
      </c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AA103" s="3"/>
      <c r="AB103" s="147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62"/>
      <c r="C104" s="163"/>
      <c r="D104" s="164"/>
      <c r="E104" s="17" t="s">
        <v>37</v>
      </c>
      <c r="F104" s="31"/>
      <c r="G104" s="31" t="s">
        <v>24</v>
      </c>
      <c r="H104" s="31"/>
      <c r="I104" s="17">
        <v>0.0</v>
      </c>
      <c r="J104" s="148"/>
      <c r="K104" s="149" t="str">
        <f t="shared" si="9"/>
        <v/>
      </c>
      <c r="L104" s="150" t="str">
        <f t="shared" si="10"/>
        <v/>
      </c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AA104" s="3"/>
      <c r="AB104" s="147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129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170</v>
      </c>
      <c r="J105" s="148"/>
      <c r="K105" s="149">
        <f t="shared" si="9"/>
        <v>0</v>
      </c>
      <c r="L105" s="150">
        <f t="shared" si="10"/>
        <v>3</v>
      </c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AA105" s="3"/>
      <c r="AB105" s="147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129</v>
      </c>
      <c r="D106" s="12" t="s">
        <v>22</v>
      </c>
      <c r="E106" s="17" t="s">
        <v>228</v>
      </c>
      <c r="F106" s="13">
        <v>1.0</v>
      </c>
      <c r="G106" s="31" t="s">
        <v>24</v>
      </c>
      <c r="H106" s="13">
        <v>2.0</v>
      </c>
      <c r="I106" s="17" t="s">
        <v>58</v>
      </c>
      <c r="J106" s="148"/>
      <c r="K106" s="149">
        <f t="shared" si="9"/>
        <v>1</v>
      </c>
      <c r="L106" s="150">
        <f t="shared" si="10"/>
        <v>2</v>
      </c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AA106" s="3"/>
      <c r="AB106" s="147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129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155</v>
      </c>
      <c r="J107" s="148"/>
      <c r="K107" s="149">
        <f t="shared" si="9"/>
        <v>0</v>
      </c>
      <c r="L107" s="150">
        <f t="shared" si="10"/>
        <v>3</v>
      </c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AA107" s="3"/>
      <c r="AB107" s="147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158</v>
      </c>
      <c r="D108" s="12" t="s">
        <v>22</v>
      </c>
      <c r="E108" s="17" t="s">
        <v>183</v>
      </c>
      <c r="F108" s="13">
        <v>2.0</v>
      </c>
      <c r="G108" s="31" t="s">
        <v>24</v>
      </c>
      <c r="H108" s="13">
        <v>0.0</v>
      </c>
      <c r="I108" s="17" t="s">
        <v>203</v>
      </c>
      <c r="J108" s="148"/>
      <c r="K108" s="149">
        <f t="shared" si="9"/>
        <v>3</v>
      </c>
      <c r="L108" s="150">
        <f t="shared" si="10"/>
        <v>0</v>
      </c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AA108" s="3"/>
      <c r="AB108" s="147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158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48"/>
      <c r="K109" s="149">
        <f t="shared" si="9"/>
        <v>0</v>
      </c>
      <c r="L109" s="150">
        <f t="shared" si="10"/>
        <v>3</v>
      </c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AA109" s="3"/>
      <c r="AB109" s="147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158</v>
      </c>
      <c r="D110" s="12" t="s">
        <v>22</v>
      </c>
      <c r="E110" s="17" t="s">
        <v>37</v>
      </c>
      <c r="F110" s="13">
        <v>2.0</v>
      </c>
      <c r="G110" s="31" t="s">
        <v>24</v>
      </c>
      <c r="H110" s="13">
        <v>0.0</v>
      </c>
      <c r="I110" s="17" t="s">
        <v>61</v>
      </c>
      <c r="J110" s="148"/>
      <c r="K110" s="149">
        <f t="shared" si="9"/>
        <v>3</v>
      </c>
      <c r="L110" s="150">
        <f t="shared" si="10"/>
        <v>0</v>
      </c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AA110" s="3"/>
      <c r="AB110" s="147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170</v>
      </c>
      <c r="F111" s="13">
        <v>2.0</v>
      </c>
      <c r="G111" s="31" t="s">
        <v>24</v>
      </c>
      <c r="H111" s="13">
        <v>0.0</v>
      </c>
      <c r="I111" s="17" t="s">
        <v>228</v>
      </c>
      <c r="J111" s="148"/>
      <c r="K111" s="149">
        <f t="shared" si="9"/>
        <v>3</v>
      </c>
      <c r="L111" s="150">
        <f t="shared" si="10"/>
        <v>0</v>
      </c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AA111" s="3"/>
      <c r="AB111" s="147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48"/>
      <c r="K112" s="149">
        <f t="shared" si="9"/>
        <v>3</v>
      </c>
      <c r="L112" s="150">
        <f t="shared" si="10"/>
        <v>0</v>
      </c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AA112" s="3"/>
      <c r="AB112" s="147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155</v>
      </c>
      <c r="F113" s="13">
        <v>1.0</v>
      </c>
      <c r="G113" s="31" t="s">
        <v>24</v>
      </c>
      <c r="H113" s="13">
        <v>2.0</v>
      </c>
      <c r="I113" s="17" t="s">
        <v>183</v>
      </c>
      <c r="J113" s="148"/>
      <c r="K113" s="149">
        <f t="shared" si="9"/>
        <v>1</v>
      </c>
      <c r="L113" s="150">
        <f t="shared" si="10"/>
        <v>2</v>
      </c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AA113" s="3"/>
      <c r="AB113" s="147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157</v>
      </c>
      <c r="D114" s="12" t="s">
        <v>22</v>
      </c>
      <c r="E114" s="17" t="s">
        <v>203</v>
      </c>
      <c r="F114" s="13">
        <v>2.0</v>
      </c>
      <c r="G114" s="31" t="s">
        <v>24</v>
      </c>
      <c r="H114" s="13">
        <v>0.0</v>
      </c>
      <c r="I114" s="17" t="s">
        <v>63</v>
      </c>
      <c r="J114" s="148"/>
      <c r="K114" s="149">
        <f t="shared" si="9"/>
        <v>3</v>
      </c>
      <c r="L114" s="150">
        <f t="shared" si="10"/>
        <v>0</v>
      </c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AA114" s="3"/>
      <c r="AB114" s="147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2"/>
      <c r="C115" s="164"/>
      <c r="D115" s="164"/>
      <c r="E115" s="17">
        <v>0.0</v>
      </c>
      <c r="F115" s="31"/>
      <c r="G115" s="31" t="s">
        <v>24</v>
      </c>
      <c r="H115" s="31"/>
      <c r="I115" s="17" t="s">
        <v>23</v>
      </c>
      <c r="J115" s="148"/>
      <c r="K115" s="149" t="str">
        <f t="shared" si="9"/>
        <v/>
      </c>
      <c r="L115" s="150" t="str">
        <f t="shared" si="10"/>
        <v/>
      </c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AA115" s="3"/>
      <c r="AB115" s="147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62"/>
      <c r="C116" s="163"/>
      <c r="D116" s="164"/>
      <c r="E116" s="17" t="s">
        <v>61</v>
      </c>
      <c r="F116" s="31"/>
      <c r="G116" s="31" t="s">
        <v>24</v>
      </c>
      <c r="H116" s="31"/>
      <c r="I116" s="17">
        <v>0.0</v>
      </c>
      <c r="J116" s="148"/>
      <c r="K116" s="149" t="str">
        <f t="shared" si="9"/>
        <v/>
      </c>
      <c r="L116" s="150" t="str">
        <f t="shared" si="10"/>
        <v/>
      </c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AA116" s="3"/>
      <c r="AB116" s="147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228</v>
      </c>
      <c r="F117" s="13">
        <v>2.0</v>
      </c>
      <c r="G117" s="31" t="s">
        <v>24</v>
      </c>
      <c r="H117" s="13">
        <v>0.0</v>
      </c>
      <c r="I117" s="17" t="s">
        <v>37</v>
      </c>
      <c r="J117" s="148"/>
      <c r="K117" s="149">
        <f t="shared" si="9"/>
        <v>3</v>
      </c>
      <c r="L117" s="150">
        <f t="shared" si="10"/>
        <v>0</v>
      </c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AA117" s="3"/>
      <c r="AB117" s="147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170</v>
      </c>
      <c r="J118" s="148"/>
      <c r="K118" s="149">
        <f t="shared" si="9"/>
        <v>0</v>
      </c>
      <c r="L118" s="150">
        <f t="shared" si="10"/>
        <v>3</v>
      </c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AA118" s="3"/>
      <c r="AB118" s="147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157</v>
      </c>
      <c r="D119" s="12" t="s">
        <v>22</v>
      </c>
      <c r="E119" s="17" t="s">
        <v>183</v>
      </c>
      <c r="F119" s="13">
        <v>1.0</v>
      </c>
      <c r="G119" s="31" t="s">
        <v>24</v>
      </c>
      <c r="H119" s="13">
        <v>2.0</v>
      </c>
      <c r="I119" s="17" t="s">
        <v>58</v>
      </c>
      <c r="J119" s="148"/>
      <c r="K119" s="149">
        <f t="shared" si="9"/>
        <v>1</v>
      </c>
      <c r="L119" s="150">
        <f t="shared" si="10"/>
        <v>2</v>
      </c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AA119" s="3"/>
      <c r="AB119" s="147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155</v>
      </c>
      <c r="J120" s="148"/>
      <c r="K120" s="149">
        <f t="shared" si="9"/>
        <v>0</v>
      </c>
      <c r="L120" s="150">
        <f t="shared" si="10"/>
        <v>3</v>
      </c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AA120" s="3"/>
      <c r="AB120" s="147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160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203</v>
      </c>
      <c r="J121" s="148"/>
      <c r="K121" s="149">
        <f t="shared" si="9"/>
        <v>3</v>
      </c>
      <c r="L121" s="150">
        <f t="shared" si="10"/>
        <v>0</v>
      </c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AA121" s="3"/>
      <c r="AB121" s="147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160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228</v>
      </c>
      <c r="J122" s="148"/>
      <c r="K122" s="149">
        <f t="shared" si="9"/>
        <v>2</v>
      </c>
      <c r="L122" s="150">
        <f t="shared" si="10"/>
        <v>1</v>
      </c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AA122" s="3"/>
      <c r="AB122" s="147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157</v>
      </c>
      <c r="D123" s="12" t="s">
        <v>22</v>
      </c>
      <c r="E123" s="17" t="s">
        <v>37</v>
      </c>
      <c r="F123" s="13">
        <v>2.0</v>
      </c>
      <c r="G123" s="31" t="s">
        <v>24</v>
      </c>
      <c r="H123" s="13">
        <v>1.0</v>
      </c>
      <c r="I123" s="17" t="s">
        <v>32</v>
      </c>
      <c r="J123" s="148"/>
      <c r="K123" s="149">
        <f t="shared" si="9"/>
        <v>2</v>
      </c>
      <c r="L123" s="150">
        <f t="shared" si="10"/>
        <v>1</v>
      </c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AA123" s="3"/>
      <c r="AB123" s="147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160</v>
      </c>
      <c r="D124" s="12" t="s">
        <v>22</v>
      </c>
      <c r="E124" s="17" t="s">
        <v>170</v>
      </c>
      <c r="F124" s="13">
        <v>2.0</v>
      </c>
      <c r="G124" s="31" t="s">
        <v>24</v>
      </c>
      <c r="H124" s="13">
        <v>0.0</v>
      </c>
      <c r="I124" s="17" t="s">
        <v>183</v>
      </c>
      <c r="J124" s="148"/>
      <c r="K124" s="149">
        <f t="shared" si="9"/>
        <v>3</v>
      </c>
      <c r="L124" s="150">
        <f t="shared" si="10"/>
        <v>0</v>
      </c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AA124" s="3"/>
      <c r="AB124" s="147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48"/>
      <c r="K125" s="149">
        <f t="shared" si="9"/>
        <v>3</v>
      </c>
      <c r="L125" s="150">
        <f t="shared" si="10"/>
        <v>0</v>
      </c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AA125" s="3"/>
      <c r="AB125" s="147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155</v>
      </c>
      <c r="F126" s="13">
        <v>2.0</v>
      </c>
      <c r="G126" s="31" t="s">
        <v>24</v>
      </c>
      <c r="H126" s="13">
        <v>0.0</v>
      </c>
      <c r="I126" s="17" t="s">
        <v>23</v>
      </c>
      <c r="J126" s="148"/>
      <c r="K126" s="149">
        <f t="shared" si="9"/>
        <v>3</v>
      </c>
      <c r="L126" s="150">
        <f t="shared" si="10"/>
        <v>0</v>
      </c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AA126" s="3"/>
      <c r="AB126" s="147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2"/>
      <c r="C127" s="164"/>
      <c r="D127" s="164"/>
      <c r="E127" s="17">
        <v>0.0</v>
      </c>
      <c r="F127" s="31"/>
      <c r="G127" s="31" t="s">
        <v>24</v>
      </c>
      <c r="H127" s="31"/>
      <c r="I127" s="17" t="s">
        <v>203</v>
      </c>
      <c r="J127" s="148"/>
      <c r="K127" s="149" t="str">
        <f t="shared" si="9"/>
        <v/>
      </c>
      <c r="L127" s="150" t="str">
        <f t="shared" si="10"/>
        <v/>
      </c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AA127" s="3"/>
      <c r="AB127" s="147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62"/>
      <c r="C128" s="163"/>
      <c r="D128" s="164"/>
      <c r="E128" s="17">
        <v>0.0</v>
      </c>
      <c r="F128" s="31"/>
      <c r="G128" s="31" t="s">
        <v>24</v>
      </c>
      <c r="H128" s="31"/>
      <c r="I128" s="17" t="s">
        <v>228</v>
      </c>
      <c r="J128" s="148"/>
      <c r="K128" s="149" t="str">
        <f t="shared" si="9"/>
        <v/>
      </c>
      <c r="L128" s="150" t="str">
        <f t="shared" si="10"/>
        <v/>
      </c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AA128" s="3"/>
      <c r="AB128" s="147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48"/>
      <c r="K129" s="149">
        <f t="shared" si="9"/>
        <v>1</v>
      </c>
      <c r="L129" s="150">
        <f t="shared" si="10"/>
        <v>2</v>
      </c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AA129" s="3"/>
      <c r="AB129" s="147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183</v>
      </c>
      <c r="F130" s="13">
        <v>1.0</v>
      </c>
      <c r="G130" s="31" t="s">
        <v>24</v>
      </c>
      <c r="H130" s="13">
        <v>2.0</v>
      </c>
      <c r="I130" s="17" t="s">
        <v>37</v>
      </c>
      <c r="J130" s="148"/>
      <c r="K130" s="149">
        <f t="shared" si="9"/>
        <v>1</v>
      </c>
      <c r="L130" s="150">
        <f t="shared" si="10"/>
        <v>2</v>
      </c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AA130" s="3"/>
      <c r="AB130" s="147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170</v>
      </c>
      <c r="J131" s="148"/>
      <c r="K131" s="149">
        <f t="shared" si="9"/>
        <v>0</v>
      </c>
      <c r="L131" s="150">
        <f t="shared" si="10"/>
        <v>3</v>
      </c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AA131" s="3"/>
      <c r="AB131" s="147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48"/>
      <c r="K132" s="149">
        <f t="shared" si="9"/>
        <v>0</v>
      </c>
      <c r="L132" s="150">
        <f t="shared" si="10"/>
        <v>3</v>
      </c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AA132" s="3"/>
      <c r="AB132" s="147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203</v>
      </c>
      <c r="F133" s="13">
        <v>0.0</v>
      </c>
      <c r="G133" s="31" t="s">
        <v>24</v>
      </c>
      <c r="H133" s="13">
        <v>2.0</v>
      </c>
      <c r="I133" s="17" t="s">
        <v>155</v>
      </c>
      <c r="J133" s="148"/>
      <c r="K133" s="149">
        <f t="shared" si="9"/>
        <v>0</v>
      </c>
      <c r="L133" s="150">
        <f t="shared" si="10"/>
        <v>3</v>
      </c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AA133" s="3"/>
      <c r="AB133" s="147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1">
        <v>46134.0</v>
      </c>
      <c r="C134" s="12" t="s">
        <v>30</v>
      </c>
      <c r="D134" s="12" t="s">
        <v>22</v>
      </c>
      <c r="E134" s="17" t="s">
        <v>228</v>
      </c>
      <c r="F134" s="13">
        <v>1.0</v>
      </c>
      <c r="G134" s="31" t="s">
        <v>24</v>
      </c>
      <c r="H134" s="13">
        <v>2.0</v>
      </c>
      <c r="I134" s="17" t="s">
        <v>32</v>
      </c>
      <c r="J134" s="148"/>
      <c r="K134" s="149">
        <f t="shared" si="9"/>
        <v>1</v>
      </c>
      <c r="L134" s="150">
        <f t="shared" si="10"/>
        <v>2</v>
      </c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AA134" s="3"/>
      <c r="AB134" s="147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183</v>
      </c>
      <c r="J135" s="148"/>
      <c r="K135" s="149">
        <f t="shared" si="9"/>
        <v>3</v>
      </c>
      <c r="L135" s="150">
        <f t="shared" si="10"/>
        <v>0</v>
      </c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AA135" s="3"/>
      <c r="AB135" s="147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35</v>
      </c>
      <c r="D136" s="12" t="s">
        <v>22</v>
      </c>
      <c r="E136" s="17" t="s">
        <v>37</v>
      </c>
      <c r="F136" s="13">
        <v>2.0</v>
      </c>
      <c r="G136" s="31" t="s">
        <v>24</v>
      </c>
      <c r="H136" s="13">
        <v>0.0</v>
      </c>
      <c r="I136" s="17" t="s">
        <v>63</v>
      </c>
      <c r="J136" s="148"/>
      <c r="K136" s="149">
        <f t="shared" si="9"/>
        <v>3</v>
      </c>
      <c r="L136" s="150">
        <f t="shared" si="10"/>
        <v>0</v>
      </c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AA136" s="3"/>
      <c r="AB136" s="147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35</v>
      </c>
      <c r="D137" s="12" t="s">
        <v>22</v>
      </c>
      <c r="E137" s="17" t="s">
        <v>170</v>
      </c>
      <c r="F137" s="13">
        <v>2.0</v>
      </c>
      <c r="G137" s="31" t="s">
        <v>24</v>
      </c>
      <c r="H137" s="13">
        <v>1.0</v>
      </c>
      <c r="I137" s="17" t="s">
        <v>23</v>
      </c>
      <c r="J137" s="148"/>
      <c r="K137" s="149">
        <f t="shared" si="9"/>
        <v>2</v>
      </c>
      <c r="L137" s="150">
        <f t="shared" si="10"/>
        <v>1</v>
      </c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AA137" s="3"/>
      <c r="AB137" s="147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35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203</v>
      </c>
      <c r="J138" s="148"/>
      <c r="K138" s="149">
        <f t="shared" si="9"/>
        <v>3</v>
      </c>
      <c r="L138" s="150">
        <f t="shared" si="10"/>
        <v>0</v>
      </c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AA138" s="3"/>
      <c r="AB138" s="147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2"/>
      <c r="C139" s="164"/>
      <c r="D139" s="164"/>
      <c r="E139" s="17" t="s">
        <v>155</v>
      </c>
      <c r="F139" s="31"/>
      <c r="G139" s="31" t="s">
        <v>24</v>
      </c>
      <c r="H139" s="31"/>
      <c r="I139" s="17">
        <v>0.0</v>
      </c>
      <c r="J139" s="148"/>
      <c r="K139" s="149" t="str">
        <f t="shared" si="9"/>
        <v/>
      </c>
      <c r="L139" s="150" t="str">
        <f t="shared" si="10"/>
        <v/>
      </c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AA139" s="3"/>
      <c r="AB139" s="147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6"/>
      <c r="B140" s="167"/>
      <c r="C140" s="168"/>
      <c r="D140" s="168"/>
      <c r="E140" s="169"/>
      <c r="F140" s="42"/>
      <c r="G140" s="42"/>
      <c r="H140" s="42"/>
      <c r="I140" s="169"/>
      <c r="J140" s="148"/>
      <c r="K140" s="149"/>
      <c r="L140" s="150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AA140" s="3"/>
      <c r="AB140" s="147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0"/>
      <c r="B141" s="161"/>
      <c r="C141" s="161"/>
      <c r="D141" s="161"/>
      <c r="E141" s="1"/>
      <c r="F141" s="161"/>
      <c r="G141" s="161"/>
      <c r="I141" s="147"/>
      <c r="AA141" s="3"/>
      <c r="AB141" s="147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0"/>
      <c r="B142" s="161"/>
      <c r="C142" s="161"/>
      <c r="D142" s="161"/>
      <c r="E142" s="1"/>
      <c r="F142" s="161"/>
      <c r="G142" s="161"/>
      <c r="I142" s="147"/>
      <c r="AA142" s="3"/>
      <c r="AB142" s="147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0"/>
      <c r="B143" s="161"/>
      <c r="C143" s="161"/>
      <c r="D143" s="161"/>
      <c r="E143" s="1"/>
      <c r="F143" s="161"/>
      <c r="G143" s="161"/>
      <c r="I143" s="147"/>
      <c r="AA143" s="3"/>
      <c r="AB143" s="147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0" t="s">
        <v>230</v>
      </c>
      <c r="I144" s="147"/>
      <c r="AA144" s="3"/>
      <c r="AB144" s="147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210</v>
      </c>
      <c r="U145" s="9" t="s">
        <v>211</v>
      </c>
      <c r="V145" s="9" t="s">
        <v>212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210</v>
      </c>
      <c r="AH145" s="5" t="s">
        <v>211</v>
      </c>
      <c r="AI145" s="5" t="s">
        <v>212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231</v>
      </c>
      <c r="J146" s="148"/>
      <c r="K146" s="149">
        <f t="shared" ref="K146:K211" si="17">IFS(F146=H146+2,3,F146=H146-2,0,F146=H146+1,2,F146=H146-1,1,F146="","")</f>
        <v>2</v>
      </c>
      <c r="L146" s="150">
        <f t="shared" ref="L146:L211" si="18">IFS(H146=F146+2,3,H146=F146-2,0,H146=F146+1,2,H146=F146-1,1,H146="","")</f>
        <v>1</v>
      </c>
      <c r="M146" s="148"/>
      <c r="N146" s="150">
        <v>1.0</v>
      </c>
      <c r="O146" s="151" t="s">
        <v>31</v>
      </c>
      <c r="P146" s="150">
        <f t="shared" ref="P146:P156" si="19">SUMIF(E$146:E$211,O146,K$146:K$211)+SUMIF(I$146:I$211,O146,L$146:L$211)</f>
        <v>14</v>
      </c>
      <c r="Q146" s="152">
        <f t="shared" ref="Q146:Q156" si="20">COUNTIFS(E$146:E$211,O146,K$146:K$211,2)+COUNTIFS(I$146:I$211,O146,L$146:L$211,2)+COUNTIFS(E$146:E$211,O146,K$146:K$211,3)+COUNTIFS(I$146:I$211,O146,L$146:L$211,3)</f>
        <v>6</v>
      </c>
      <c r="R146" s="153"/>
      <c r="S146" s="153">
        <f t="shared" ref="S146:S156" si="21">COUNTIFS(E$146:E$211,O146,K$146:K$211,1)+COUNTIFS(I$146:I$211,O146,L$146:L$211,1)+COUNTIFS(E$146:E$211,O146,K$146:K$211,0)+COUNTIFS(I$146:I$211,O146,L$146:L$211,0)</f>
        <v>4</v>
      </c>
      <c r="T146" s="150">
        <f t="shared" ref="T146:T156" si="22">SUMIF(E$146:E$211,O146,F$146:F$211)+SUMIF(I$146:I$211,O146,H$146:H$211)</f>
        <v>13</v>
      </c>
      <c r="U146" s="153">
        <f t="shared" ref="U146:U156" si="23">SUMIF(E$146:E$211,O146,H$146:H$211)+SUMIF(I$146:I$211,O146,F$146:F$211)</f>
        <v>13</v>
      </c>
      <c r="V146" s="150">
        <f t="shared" ref="V146:V156" si="24">T146-U146</f>
        <v>0</v>
      </c>
      <c r="X146" s="136" t="s">
        <v>26</v>
      </c>
      <c r="Y146" s="136" t="s">
        <v>13</v>
      </c>
      <c r="AA146" s="45" t="s">
        <v>29</v>
      </c>
      <c r="AB146" s="70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122</v>
      </c>
      <c r="F147" s="13">
        <v>2.0</v>
      </c>
      <c r="G147" s="31" t="s">
        <v>24</v>
      </c>
      <c r="H147" s="13">
        <v>0.0</v>
      </c>
      <c r="I147" s="17" t="s">
        <v>232</v>
      </c>
      <c r="J147" s="148"/>
      <c r="K147" s="149">
        <f t="shared" si="17"/>
        <v>3</v>
      </c>
      <c r="L147" s="150">
        <f t="shared" si="18"/>
        <v>0</v>
      </c>
      <c r="M147" s="148"/>
      <c r="N147" s="150">
        <v>2.0</v>
      </c>
      <c r="O147" s="151" t="s">
        <v>60</v>
      </c>
      <c r="P147" s="150">
        <f t="shared" si="19"/>
        <v>8</v>
      </c>
      <c r="Q147" s="152">
        <f t="shared" si="20"/>
        <v>2</v>
      </c>
      <c r="R147" s="153"/>
      <c r="S147" s="153">
        <f t="shared" si="21"/>
        <v>8</v>
      </c>
      <c r="T147" s="150">
        <f t="shared" si="22"/>
        <v>6</v>
      </c>
      <c r="U147" s="153">
        <f t="shared" si="23"/>
        <v>16</v>
      </c>
      <c r="V147" s="150">
        <f t="shared" si="24"/>
        <v>-10</v>
      </c>
      <c r="X147" s="137" t="s">
        <v>33</v>
      </c>
      <c r="Y147" s="137">
        <v>3.0</v>
      </c>
      <c r="AA147" s="125" t="s">
        <v>119</v>
      </c>
      <c r="AB147" s="70" t="s">
        <v>122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115</v>
      </c>
      <c r="J148" s="148"/>
      <c r="K148" s="149">
        <f t="shared" si="17"/>
        <v>0</v>
      </c>
      <c r="L148" s="150">
        <f t="shared" si="18"/>
        <v>3</v>
      </c>
      <c r="M148" s="148"/>
      <c r="N148" s="150">
        <v>3.0</v>
      </c>
      <c r="O148" s="151" t="s">
        <v>231</v>
      </c>
      <c r="P148" s="150">
        <f t="shared" si="19"/>
        <v>19</v>
      </c>
      <c r="Q148" s="152">
        <f t="shared" si="20"/>
        <v>7</v>
      </c>
      <c r="R148" s="153"/>
      <c r="S148" s="153">
        <f t="shared" si="21"/>
        <v>3</v>
      </c>
      <c r="T148" s="150">
        <f t="shared" si="22"/>
        <v>17</v>
      </c>
      <c r="U148" s="153">
        <f t="shared" si="23"/>
        <v>11</v>
      </c>
      <c r="V148" s="150">
        <f t="shared" si="24"/>
        <v>6</v>
      </c>
      <c r="X148" s="137" t="s">
        <v>41</v>
      </c>
      <c r="Y148" s="137">
        <v>0.0</v>
      </c>
      <c r="AA148" s="22">
        <v>3.0</v>
      </c>
      <c r="AB148" s="70" t="s">
        <v>231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35</v>
      </c>
      <c r="D149" s="12" t="s">
        <v>22</v>
      </c>
      <c r="E149" s="17" t="s">
        <v>135</v>
      </c>
      <c r="F149" s="13">
        <v>2.0</v>
      </c>
      <c r="G149" s="31" t="s">
        <v>24</v>
      </c>
      <c r="H149" s="13">
        <v>1.0</v>
      </c>
      <c r="I149" s="17" t="s">
        <v>65</v>
      </c>
      <c r="J149" s="148"/>
      <c r="K149" s="149">
        <f t="shared" si="17"/>
        <v>2</v>
      </c>
      <c r="L149" s="150">
        <f t="shared" si="18"/>
        <v>1</v>
      </c>
      <c r="M149" s="148"/>
      <c r="N149" s="150">
        <v>4.0</v>
      </c>
      <c r="O149" s="151" t="s">
        <v>45</v>
      </c>
      <c r="P149" s="150">
        <f t="shared" si="19"/>
        <v>19</v>
      </c>
      <c r="Q149" s="152">
        <f t="shared" si="20"/>
        <v>7</v>
      </c>
      <c r="R149" s="153"/>
      <c r="S149" s="153">
        <f t="shared" si="21"/>
        <v>3</v>
      </c>
      <c r="T149" s="150">
        <f t="shared" si="22"/>
        <v>15</v>
      </c>
      <c r="U149" s="153">
        <f t="shared" si="23"/>
        <v>9</v>
      </c>
      <c r="V149" s="150">
        <f t="shared" si="24"/>
        <v>6</v>
      </c>
      <c r="AA149" s="22">
        <v>4.0</v>
      </c>
      <c r="AB149" s="70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48"/>
      <c r="K150" s="149">
        <f t="shared" si="17"/>
        <v>2</v>
      </c>
      <c r="L150" s="150">
        <f t="shared" si="18"/>
        <v>1</v>
      </c>
      <c r="M150" s="148"/>
      <c r="N150" s="150">
        <v>5.0</v>
      </c>
      <c r="O150" s="151" t="s">
        <v>232</v>
      </c>
      <c r="P150" s="150">
        <f t="shared" si="19"/>
        <v>9</v>
      </c>
      <c r="Q150" s="152">
        <f t="shared" si="20"/>
        <v>2</v>
      </c>
      <c r="R150" s="153"/>
      <c r="S150" s="153">
        <f t="shared" si="21"/>
        <v>8</v>
      </c>
      <c r="T150" s="150">
        <f t="shared" si="22"/>
        <v>7</v>
      </c>
      <c r="U150" s="153">
        <f t="shared" si="23"/>
        <v>16</v>
      </c>
      <c r="V150" s="150">
        <f t="shared" si="24"/>
        <v>-9</v>
      </c>
      <c r="AA150" s="22">
        <v>5.0</v>
      </c>
      <c r="AB150" s="70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2"/>
      <c r="C151" s="163"/>
      <c r="D151" s="164"/>
      <c r="E151" s="17">
        <v>0.0</v>
      </c>
      <c r="F151" s="31"/>
      <c r="G151" s="31" t="s">
        <v>24</v>
      </c>
      <c r="H151" s="31"/>
      <c r="I151" s="17" t="s">
        <v>60</v>
      </c>
      <c r="J151" s="148"/>
      <c r="K151" s="149" t="str">
        <f t="shared" si="17"/>
        <v/>
      </c>
      <c r="L151" s="150" t="str">
        <f t="shared" si="18"/>
        <v/>
      </c>
      <c r="M151" s="148"/>
      <c r="N151" s="150">
        <v>6.0</v>
      </c>
      <c r="O151" s="151" t="s">
        <v>135</v>
      </c>
      <c r="P151" s="150">
        <f t="shared" si="19"/>
        <v>9</v>
      </c>
      <c r="Q151" s="152">
        <f t="shared" si="20"/>
        <v>3</v>
      </c>
      <c r="R151" s="153"/>
      <c r="S151" s="153">
        <f t="shared" si="21"/>
        <v>7</v>
      </c>
      <c r="T151" s="150">
        <f t="shared" si="22"/>
        <v>8</v>
      </c>
      <c r="U151" s="153">
        <f t="shared" si="23"/>
        <v>16</v>
      </c>
      <c r="V151" s="150">
        <f t="shared" si="24"/>
        <v>-8</v>
      </c>
      <c r="AA151" s="22">
        <v>6.0</v>
      </c>
      <c r="AB151" s="70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5">
        <v>2.0</v>
      </c>
      <c r="B152" s="162"/>
      <c r="C152" s="163"/>
      <c r="D152" s="164"/>
      <c r="E152" s="17" t="s">
        <v>231</v>
      </c>
      <c r="F152" s="31"/>
      <c r="G152" s="31" t="s">
        <v>24</v>
      </c>
      <c r="H152" s="31"/>
      <c r="I152" s="17">
        <v>0.0</v>
      </c>
      <c r="J152" s="148"/>
      <c r="K152" s="149" t="str">
        <f t="shared" si="17"/>
        <v/>
      </c>
      <c r="L152" s="150" t="str">
        <f t="shared" si="18"/>
        <v/>
      </c>
      <c r="M152" s="148"/>
      <c r="N152" s="150">
        <v>7.0</v>
      </c>
      <c r="O152" s="151" t="s">
        <v>115</v>
      </c>
      <c r="P152" s="150">
        <f t="shared" si="19"/>
        <v>28</v>
      </c>
      <c r="Q152" s="152">
        <f t="shared" si="20"/>
        <v>10</v>
      </c>
      <c r="R152" s="153"/>
      <c r="S152" s="153">
        <f t="shared" si="21"/>
        <v>0</v>
      </c>
      <c r="T152" s="150">
        <f t="shared" si="22"/>
        <v>20</v>
      </c>
      <c r="U152" s="153">
        <f t="shared" si="23"/>
        <v>2</v>
      </c>
      <c r="V152" s="150">
        <f t="shared" si="24"/>
        <v>18</v>
      </c>
      <c r="AA152" s="22">
        <v>7.0</v>
      </c>
      <c r="AB152" s="70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35</v>
      </c>
      <c r="D153" s="12" t="s">
        <v>22</v>
      </c>
      <c r="E153" s="17" t="s">
        <v>232</v>
      </c>
      <c r="F153" s="13">
        <v>1.0</v>
      </c>
      <c r="G153" s="31" t="s">
        <v>24</v>
      </c>
      <c r="H153" s="13">
        <v>2.0</v>
      </c>
      <c r="I153" s="17" t="s">
        <v>31</v>
      </c>
      <c r="J153" s="148"/>
      <c r="K153" s="149">
        <f t="shared" si="17"/>
        <v>1</v>
      </c>
      <c r="L153" s="150">
        <f t="shared" si="18"/>
        <v>2</v>
      </c>
      <c r="M153" s="148"/>
      <c r="N153" s="150">
        <v>8.0</v>
      </c>
      <c r="O153" s="151" t="s">
        <v>68</v>
      </c>
      <c r="P153" s="150">
        <f t="shared" si="19"/>
        <v>2</v>
      </c>
      <c r="Q153" s="152">
        <f t="shared" si="20"/>
        <v>0</v>
      </c>
      <c r="R153" s="153"/>
      <c r="S153" s="153">
        <f t="shared" si="21"/>
        <v>10</v>
      </c>
      <c r="T153" s="150">
        <f t="shared" si="22"/>
        <v>2</v>
      </c>
      <c r="U153" s="153">
        <f t="shared" si="23"/>
        <v>20</v>
      </c>
      <c r="V153" s="150">
        <f t="shared" si="24"/>
        <v>-18</v>
      </c>
      <c r="AA153" s="22">
        <v>8.0</v>
      </c>
      <c r="AB153" s="70" t="s">
        <v>135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115</v>
      </c>
      <c r="F154" s="13">
        <v>2.0</v>
      </c>
      <c r="G154" s="31" t="s">
        <v>24</v>
      </c>
      <c r="H154" s="13">
        <v>1.0</v>
      </c>
      <c r="I154" s="17" t="s">
        <v>122</v>
      </c>
      <c r="J154" s="148"/>
      <c r="K154" s="149">
        <f t="shared" si="17"/>
        <v>2</v>
      </c>
      <c r="L154" s="150">
        <f t="shared" si="18"/>
        <v>1</v>
      </c>
      <c r="M154" s="148"/>
      <c r="N154" s="150">
        <v>9.0</v>
      </c>
      <c r="O154" s="151" t="s">
        <v>65</v>
      </c>
      <c r="P154" s="150">
        <f t="shared" si="19"/>
        <v>13</v>
      </c>
      <c r="Q154" s="152">
        <f t="shared" si="20"/>
        <v>4</v>
      </c>
      <c r="R154" s="153"/>
      <c r="S154" s="153">
        <f t="shared" si="21"/>
        <v>6</v>
      </c>
      <c r="T154" s="150">
        <f t="shared" si="22"/>
        <v>11</v>
      </c>
      <c r="U154" s="153">
        <f t="shared" si="23"/>
        <v>14</v>
      </c>
      <c r="V154" s="150">
        <f t="shared" si="24"/>
        <v>-3</v>
      </c>
      <c r="AA154" s="22">
        <v>9.0</v>
      </c>
      <c r="AB154" s="70" t="s">
        <v>232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48"/>
      <c r="K155" s="149">
        <f t="shared" si="17"/>
        <v>3</v>
      </c>
      <c r="L155" s="150">
        <f t="shared" si="18"/>
        <v>0</v>
      </c>
      <c r="M155" s="148"/>
      <c r="N155" s="150">
        <v>10.0</v>
      </c>
      <c r="O155" s="151" t="s">
        <v>122</v>
      </c>
      <c r="P155" s="150">
        <f t="shared" si="19"/>
        <v>27</v>
      </c>
      <c r="Q155" s="152">
        <f t="shared" si="20"/>
        <v>9</v>
      </c>
      <c r="R155" s="153"/>
      <c r="S155" s="153">
        <f t="shared" si="21"/>
        <v>1</v>
      </c>
      <c r="T155" s="150">
        <f t="shared" si="22"/>
        <v>19</v>
      </c>
      <c r="U155" s="153">
        <f t="shared" si="23"/>
        <v>3</v>
      </c>
      <c r="V155" s="150">
        <f t="shared" si="24"/>
        <v>16</v>
      </c>
      <c r="AA155" s="22">
        <v>10.0</v>
      </c>
      <c r="AB155" s="70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135</v>
      </c>
      <c r="J156" s="148"/>
      <c r="K156" s="149">
        <f t="shared" si="17"/>
        <v>3</v>
      </c>
      <c r="L156" s="150">
        <f t="shared" si="18"/>
        <v>0</v>
      </c>
      <c r="M156" s="148"/>
      <c r="N156" s="165">
        <v>11.0</v>
      </c>
      <c r="O156" s="165" t="s">
        <v>64</v>
      </c>
      <c r="P156" s="150">
        <f t="shared" si="19"/>
        <v>17</v>
      </c>
      <c r="Q156" s="152">
        <f t="shared" si="20"/>
        <v>5</v>
      </c>
      <c r="S156" s="153">
        <f t="shared" si="21"/>
        <v>5</v>
      </c>
      <c r="T156" s="150">
        <f t="shared" si="22"/>
        <v>13</v>
      </c>
      <c r="U156" s="153">
        <f t="shared" si="23"/>
        <v>11</v>
      </c>
      <c r="V156" s="150">
        <f t="shared" si="24"/>
        <v>2</v>
      </c>
      <c r="AA156" s="52">
        <v>11.0</v>
      </c>
      <c r="AB156" s="70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48"/>
      <c r="K157" s="149">
        <f t="shared" si="17"/>
        <v>0</v>
      </c>
      <c r="L157" s="150">
        <f t="shared" si="18"/>
        <v>3</v>
      </c>
      <c r="M157" s="148"/>
      <c r="AA157" s="35" t="s">
        <v>233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231</v>
      </c>
      <c r="F158" s="13">
        <v>2.0</v>
      </c>
      <c r="G158" s="31" t="s">
        <v>24</v>
      </c>
      <c r="H158" s="13">
        <v>1.0</v>
      </c>
      <c r="I158" s="17" t="s">
        <v>232</v>
      </c>
      <c r="J158" s="148"/>
      <c r="K158" s="149">
        <f t="shared" si="17"/>
        <v>2</v>
      </c>
      <c r="L158" s="150">
        <f t="shared" si="18"/>
        <v>1</v>
      </c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AA158" s="79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115</v>
      </c>
      <c r="J159" s="148"/>
      <c r="K159" s="149">
        <f t="shared" si="17"/>
        <v>0</v>
      </c>
      <c r="L159" s="150">
        <f t="shared" si="18"/>
        <v>3</v>
      </c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AA159" s="157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185</v>
      </c>
      <c r="D160" s="12" t="s">
        <v>22</v>
      </c>
      <c r="E160" s="17" t="s">
        <v>122</v>
      </c>
      <c r="F160" s="13">
        <v>2.0</v>
      </c>
      <c r="G160" s="31" t="s">
        <v>24</v>
      </c>
      <c r="H160" s="13">
        <v>0.0</v>
      </c>
      <c r="I160" s="17" t="s">
        <v>65</v>
      </c>
      <c r="J160" s="148"/>
      <c r="K160" s="149">
        <f t="shared" si="17"/>
        <v>3</v>
      </c>
      <c r="L160" s="150">
        <f t="shared" si="18"/>
        <v>0</v>
      </c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167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58"/>
      <c r="K161" s="149">
        <f t="shared" si="17"/>
        <v>0</v>
      </c>
      <c r="L161" s="150">
        <f t="shared" si="18"/>
        <v>3</v>
      </c>
      <c r="M161" s="148"/>
      <c r="N161" s="148"/>
      <c r="O161" s="148"/>
      <c r="P161" s="148"/>
      <c r="R161" s="148"/>
      <c r="S161" s="148"/>
      <c r="T161" s="148"/>
      <c r="U161" s="148"/>
      <c r="V161" s="148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135</v>
      </c>
      <c r="F162" s="13">
        <v>0.0</v>
      </c>
      <c r="G162" s="31" t="s">
        <v>24</v>
      </c>
      <c r="H162" s="13">
        <v>2.0</v>
      </c>
      <c r="I162" s="17" t="s">
        <v>60</v>
      </c>
      <c r="J162" s="148"/>
      <c r="K162" s="149">
        <f t="shared" si="17"/>
        <v>0</v>
      </c>
      <c r="L162" s="150">
        <f t="shared" si="18"/>
        <v>3</v>
      </c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AG162" s="3"/>
      <c r="AH162" s="3"/>
      <c r="AI162" s="3"/>
      <c r="AJ162" s="3"/>
    </row>
    <row r="163" ht="15.75" customHeight="1">
      <c r="A163" s="29"/>
      <c r="B163" s="162"/>
      <c r="C163" s="164"/>
      <c r="D163" s="164"/>
      <c r="E163" s="17">
        <v>0.0</v>
      </c>
      <c r="F163" s="31"/>
      <c r="G163" s="31" t="s">
        <v>24</v>
      </c>
      <c r="H163" s="31"/>
      <c r="I163" s="17" t="s">
        <v>45</v>
      </c>
      <c r="J163" s="148"/>
      <c r="K163" s="149" t="str">
        <f t="shared" si="17"/>
        <v/>
      </c>
      <c r="L163" s="150" t="str">
        <f t="shared" si="18"/>
        <v/>
      </c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AG163" s="3"/>
      <c r="AH163" s="3"/>
      <c r="AI163" s="3"/>
      <c r="AJ163" s="3"/>
    </row>
    <row r="164" ht="15.75" customHeight="1">
      <c r="A164" s="143">
        <v>4.0</v>
      </c>
      <c r="B164" s="162"/>
      <c r="C164" s="164"/>
      <c r="D164" s="164"/>
      <c r="E164" s="17" t="s">
        <v>232</v>
      </c>
      <c r="F164" s="31"/>
      <c r="G164" s="31" t="s">
        <v>24</v>
      </c>
      <c r="H164" s="31"/>
      <c r="I164" s="17">
        <v>0.0</v>
      </c>
      <c r="J164" s="148"/>
      <c r="K164" s="149" t="str">
        <f t="shared" si="17"/>
        <v/>
      </c>
      <c r="L164" s="150" t="str">
        <f t="shared" si="18"/>
        <v/>
      </c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115</v>
      </c>
      <c r="F165" s="13">
        <v>2.0</v>
      </c>
      <c r="G165" s="31" t="s">
        <v>24</v>
      </c>
      <c r="H165" s="13">
        <v>1.0</v>
      </c>
      <c r="I165" s="17" t="s">
        <v>231</v>
      </c>
      <c r="J165" s="148"/>
      <c r="K165" s="149">
        <f t="shared" si="17"/>
        <v>2</v>
      </c>
      <c r="L165" s="150">
        <f t="shared" si="18"/>
        <v>1</v>
      </c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129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48"/>
      <c r="K166" s="149">
        <f t="shared" si="17"/>
        <v>2</v>
      </c>
      <c r="L166" s="150">
        <f t="shared" si="18"/>
        <v>1</v>
      </c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158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122</v>
      </c>
      <c r="J167" s="148"/>
      <c r="K167" s="149">
        <f t="shared" si="17"/>
        <v>0</v>
      </c>
      <c r="L167" s="150">
        <f t="shared" si="18"/>
        <v>3</v>
      </c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AA167" s="3"/>
      <c r="AB167" s="147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48"/>
      <c r="K168" s="149">
        <f t="shared" si="17"/>
        <v>3</v>
      </c>
      <c r="L168" s="150">
        <f t="shared" si="18"/>
        <v>0</v>
      </c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AA168" s="3"/>
      <c r="AB168" s="147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172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135</v>
      </c>
      <c r="J169" s="148"/>
      <c r="K169" s="149">
        <f t="shared" si="17"/>
        <v>2</v>
      </c>
      <c r="L169" s="150">
        <f t="shared" si="18"/>
        <v>1</v>
      </c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AA169" s="3"/>
      <c r="AB169" s="147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232</v>
      </c>
      <c r="F170" s="13">
        <v>0.0</v>
      </c>
      <c r="G170" s="31" t="s">
        <v>24</v>
      </c>
      <c r="H170" s="13">
        <v>2.0</v>
      </c>
      <c r="I170" s="17" t="s">
        <v>115</v>
      </c>
      <c r="J170" s="148"/>
      <c r="K170" s="149">
        <f t="shared" si="17"/>
        <v>0</v>
      </c>
      <c r="L170" s="150">
        <f t="shared" si="18"/>
        <v>3</v>
      </c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AA170" s="3"/>
      <c r="AB170" s="147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217</v>
      </c>
      <c r="D171" s="12" t="s">
        <v>22</v>
      </c>
      <c r="E171" s="17" t="s">
        <v>231</v>
      </c>
      <c r="F171" s="159">
        <v>2.0</v>
      </c>
      <c r="G171" s="31" t="s">
        <v>24</v>
      </c>
      <c r="H171" s="13">
        <v>1.0</v>
      </c>
      <c r="I171" s="17" t="s">
        <v>65</v>
      </c>
      <c r="J171" s="148"/>
      <c r="K171" s="149">
        <f t="shared" si="17"/>
        <v>2</v>
      </c>
      <c r="L171" s="150">
        <f t="shared" si="18"/>
        <v>1</v>
      </c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AA171" s="3"/>
      <c r="AB171" s="147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217</v>
      </c>
      <c r="D172" s="12" t="s">
        <v>22</v>
      </c>
      <c r="E172" s="17" t="s">
        <v>31</v>
      </c>
      <c r="F172" s="159">
        <v>2.0</v>
      </c>
      <c r="G172" s="31" t="s">
        <v>24</v>
      </c>
      <c r="H172" s="13">
        <v>1.0</v>
      </c>
      <c r="I172" s="17" t="s">
        <v>64</v>
      </c>
      <c r="J172" s="148"/>
      <c r="K172" s="149">
        <f t="shared" si="17"/>
        <v>2</v>
      </c>
      <c r="L172" s="150">
        <f t="shared" si="18"/>
        <v>1</v>
      </c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AA172" s="3"/>
      <c r="AB172" s="147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157</v>
      </c>
      <c r="D173" s="12" t="s">
        <v>22</v>
      </c>
      <c r="E173" s="17" t="s">
        <v>122</v>
      </c>
      <c r="F173" s="159">
        <v>2.0</v>
      </c>
      <c r="G173" s="31" t="s">
        <v>24</v>
      </c>
      <c r="H173" s="13">
        <v>0.0</v>
      </c>
      <c r="I173" s="17" t="s">
        <v>60</v>
      </c>
      <c r="J173" s="148"/>
      <c r="K173" s="149">
        <f t="shared" si="17"/>
        <v>3</v>
      </c>
      <c r="L173" s="150">
        <f t="shared" si="18"/>
        <v>0</v>
      </c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AA173" s="3"/>
      <c r="AB173" s="147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59">
        <v>0.0</v>
      </c>
      <c r="G174" s="31" t="s">
        <v>24</v>
      </c>
      <c r="H174" s="13">
        <v>2.0</v>
      </c>
      <c r="I174" s="17" t="s">
        <v>45</v>
      </c>
      <c r="J174" s="148"/>
      <c r="K174" s="149">
        <f t="shared" si="17"/>
        <v>0</v>
      </c>
      <c r="L174" s="150">
        <f t="shared" si="18"/>
        <v>3</v>
      </c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AA174" s="3"/>
      <c r="AB174" s="147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2"/>
      <c r="C175" s="164"/>
      <c r="D175" s="164"/>
      <c r="E175" s="17">
        <v>0.0</v>
      </c>
      <c r="F175" s="164"/>
      <c r="G175" s="31" t="s">
        <v>24</v>
      </c>
      <c r="H175" s="31"/>
      <c r="I175" s="17" t="s">
        <v>135</v>
      </c>
      <c r="J175" s="148"/>
      <c r="K175" s="149" t="str">
        <f t="shared" si="17"/>
        <v/>
      </c>
      <c r="L175" s="150" t="str">
        <f t="shared" si="18"/>
        <v/>
      </c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AA175" s="3"/>
      <c r="AB175" s="147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62"/>
      <c r="C176" s="163"/>
      <c r="D176" s="164"/>
      <c r="E176" s="17" t="s">
        <v>115</v>
      </c>
      <c r="F176" s="31"/>
      <c r="G176" s="31" t="s">
        <v>24</v>
      </c>
      <c r="H176" s="31"/>
      <c r="I176" s="17">
        <v>0.0</v>
      </c>
      <c r="J176" s="148"/>
      <c r="K176" s="149" t="str">
        <f t="shared" si="17"/>
        <v/>
      </c>
      <c r="L176" s="150" t="str">
        <f t="shared" si="18"/>
        <v/>
      </c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AA176" s="3"/>
      <c r="AB176" s="147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172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232</v>
      </c>
      <c r="J177" s="148"/>
      <c r="K177" s="149">
        <f t="shared" si="17"/>
        <v>3</v>
      </c>
      <c r="L177" s="150">
        <f t="shared" si="18"/>
        <v>0</v>
      </c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AA177" s="3"/>
      <c r="AB177" s="147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172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231</v>
      </c>
      <c r="J178" s="148"/>
      <c r="K178" s="149">
        <f t="shared" si="17"/>
        <v>1</v>
      </c>
      <c r="L178" s="150">
        <f t="shared" si="18"/>
        <v>2</v>
      </c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AA178" s="3"/>
      <c r="AB178" s="147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162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48"/>
      <c r="K179" s="149">
        <f t="shared" si="17"/>
        <v>1</v>
      </c>
      <c r="L179" s="150">
        <f t="shared" si="18"/>
        <v>2</v>
      </c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AA179" s="3"/>
      <c r="AB179" s="147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162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122</v>
      </c>
      <c r="J180" s="148"/>
      <c r="K180" s="149">
        <f t="shared" si="17"/>
        <v>0</v>
      </c>
      <c r="L180" s="150">
        <f t="shared" si="18"/>
        <v>3</v>
      </c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AA180" s="3"/>
      <c r="AB180" s="147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172</v>
      </c>
      <c r="D181" s="12" t="s">
        <v>22</v>
      </c>
      <c r="E181" s="17" t="s">
        <v>135</v>
      </c>
      <c r="F181" s="13">
        <v>2.0</v>
      </c>
      <c r="G181" s="31" t="s">
        <v>24</v>
      </c>
      <c r="H181" s="13">
        <v>1.0</v>
      </c>
      <c r="I181" s="17" t="s">
        <v>68</v>
      </c>
      <c r="J181" s="148"/>
      <c r="K181" s="149">
        <f t="shared" si="17"/>
        <v>2</v>
      </c>
      <c r="L181" s="150">
        <f t="shared" si="18"/>
        <v>1</v>
      </c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AA181" s="3"/>
      <c r="AB181" s="147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162</v>
      </c>
      <c r="D182" s="12" t="s">
        <v>22</v>
      </c>
      <c r="E182" s="17" t="s">
        <v>115</v>
      </c>
      <c r="F182" s="13">
        <v>2.0</v>
      </c>
      <c r="G182" s="31" t="s">
        <v>24</v>
      </c>
      <c r="H182" s="13">
        <v>0.0</v>
      </c>
      <c r="I182" s="17" t="s">
        <v>65</v>
      </c>
      <c r="J182" s="148"/>
      <c r="K182" s="149">
        <f t="shared" si="17"/>
        <v>3</v>
      </c>
      <c r="L182" s="150">
        <f t="shared" si="18"/>
        <v>0</v>
      </c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AA182" s="3"/>
      <c r="AB182" s="147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157</v>
      </c>
      <c r="D183" s="12" t="s">
        <v>22</v>
      </c>
      <c r="E183" s="17" t="s">
        <v>232</v>
      </c>
      <c r="F183" s="13">
        <v>0.0</v>
      </c>
      <c r="G183" s="31" t="s">
        <v>24</v>
      </c>
      <c r="H183" s="13">
        <v>2.0</v>
      </c>
      <c r="I183" s="17" t="s">
        <v>64</v>
      </c>
      <c r="J183" s="148"/>
      <c r="K183" s="149">
        <f t="shared" si="17"/>
        <v>0</v>
      </c>
      <c r="L183" s="150">
        <f t="shared" si="18"/>
        <v>3</v>
      </c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AA183" s="3"/>
      <c r="AB183" s="147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157</v>
      </c>
      <c r="D184" s="12" t="s">
        <v>22</v>
      </c>
      <c r="E184" s="17" t="s">
        <v>231</v>
      </c>
      <c r="F184" s="13">
        <v>2.0</v>
      </c>
      <c r="G184" s="31" t="s">
        <v>24</v>
      </c>
      <c r="H184" s="13">
        <v>0.0</v>
      </c>
      <c r="I184" s="17" t="s">
        <v>60</v>
      </c>
      <c r="J184" s="148"/>
      <c r="K184" s="149">
        <f t="shared" si="17"/>
        <v>3</v>
      </c>
      <c r="L184" s="150">
        <f t="shared" si="18"/>
        <v>0</v>
      </c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AA184" s="3"/>
      <c r="AB184" s="147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157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48"/>
      <c r="K185" s="149">
        <f t="shared" si="17"/>
        <v>0</v>
      </c>
      <c r="L185" s="150">
        <f t="shared" si="18"/>
        <v>3</v>
      </c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AA185" s="3"/>
      <c r="AB185" s="147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160</v>
      </c>
      <c r="D186" s="12" t="s">
        <v>22</v>
      </c>
      <c r="E186" s="17" t="s">
        <v>122</v>
      </c>
      <c r="F186" s="13">
        <v>2.0</v>
      </c>
      <c r="G186" s="31" t="s">
        <v>24</v>
      </c>
      <c r="H186" s="13">
        <v>0.0</v>
      </c>
      <c r="I186" s="17" t="s">
        <v>135</v>
      </c>
      <c r="J186" s="148"/>
      <c r="K186" s="149">
        <f t="shared" si="17"/>
        <v>3</v>
      </c>
      <c r="L186" s="150">
        <f t="shared" si="18"/>
        <v>0</v>
      </c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AA186" s="3"/>
      <c r="AB186" s="147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2"/>
      <c r="C187" s="164"/>
      <c r="D187" s="164"/>
      <c r="E187" s="17">
        <v>0.0</v>
      </c>
      <c r="F187" s="31"/>
      <c r="G187" s="31" t="s">
        <v>24</v>
      </c>
      <c r="H187" s="31"/>
      <c r="I187" s="17" t="s">
        <v>68</v>
      </c>
      <c r="J187" s="148"/>
      <c r="K187" s="149" t="str">
        <f t="shared" si="17"/>
        <v/>
      </c>
      <c r="L187" s="150" t="str">
        <f t="shared" si="18"/>
        <v/>
      </c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AA187" s="3"/>
      <c r="AB187" s="147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48"/>
      <c r="K188" s="149" t="str">
        <f t="shared" si="17"/>
        <v/>
      </c>
      <c r="L188" s="150" t="str">
        <f t="shared" si="18"/>
        <v/>
      </c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AA188" s="3"/>
      <c r="AB188" s="147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160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115</v>
      </c>
      <c r="J189" s="148"/>
      <c r="K189" s="149">
        <f t="shared" si="17"/>
        <v>0</v>
      </c>
      <c r="L189" s="150">
        <f t="shared" si="18"/>
        <v>3</v>
      </c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AA189" s="3"/>
      <c r="AB189" s="147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160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232</v>
      </c>
      <c r="J190" s="148"/>
      <c r="K190" s="149">
        <f t="shared" si="17"/>
        <v>0</v>
      </c>
      <c r="L190" s="150">
        <f t="shared" si="18"/>
        <v>3</v>
      </c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AA190" s="3"/>
      <c r="AB190" s="147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231</v>
      </c>
      <c r="J191" s="148"/>
      <c r="K191" s="149">
        <f t="shared" si="17"/>
        <v>1</v>
      </c>
      <c r="L191" s="150">
        <f t="shared" si="18"/>
        <v>2</v>
      </c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AA191" s="3"/>
      <c r="AB191" s="147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135</v>
      </c>
      <c r="F192" s="13">
        <v>1.0</v>
      </c>
      <c r="G192" s="31" t="s">
        <v>24</v>
      </c>
      <c r="H192" s="13">
        <v>2.0</v>
      </c>
      <c r="I192" s="17" t="s">
        <v>31</v>
      </c>
      <c r="J192" s="148"/>
      <c r="K192" s="149">
        <f t="shared" si="17"/>
        <v>1</v>
      </c>
      <c r="L192" s="150">
        <f t="shared" si="18"/>
        <v>2</v>
      </c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AA192" s="3"/>
      <c r="AB192" s="147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122</v>
      </c>
      <c r="J193" s="148"/>
      <c r="K193" s="149">
        <f t="shared" si="17"/>
        <v>0</v>
      </c>
      <c r="L193" s="150">
        <f t="shared" si="18"/>
        <v>3</v>
      </c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AA193" s="3"/>
      <c r="AB193" s="147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48"/>
      <c r="K194" s="149">
        <f t="shared" si="17"/>
        <v>1</v>
      </c>
      <c r="L194" s="150">
        <f t="shared" si="18"/>
        <v>2</v>
      </c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AA194" s="3"/>
      <c r="AB194" s="147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115</v>
      </c>
      <c r="F195" s="13">
        <v>2.0</v>
      </c>
      <c r="G195" s="31" t="s">
        <v>24</v>
      </c>
      <c r="H195" s="13">
        <v>0.0</v>
      </c>
      <c r="I195" s="17" t="s">
        <v>60</v>
      </c>
      <c r="J195" s="148"/>
      <c r="K195" s="149">
        <f t="shared" si="17"/>
        <v>3</v>
      </c>
      <c r="L195" s="150">
        <f t="shared" si="18"/>
        <v>0</v>
      </c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AA195" s="3"/>
      <c r="AB195" s="147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232</v>
      </c>
      <c r="F196" s="13">
        <v>1.0</v>
      </c>
      <c r="G196" s="31" t="s">
        <v>24</v>
      </c>
      <c r="H196" s="13">
        <v>2.0</v>
      </c>
      <c r="I196" s="17" t="s">
        <v>45</v>
      </c>
      <c r="J196" s="148"/>
      <c r="K196" s="149">
        <f t="shared" si="17"/>
        <v>1</v>
      </c>
      <c r="L196" s="150">
        <f t="shared" si="18"/>
        <v>2</v>
      </c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AA196" s="3"/>
      <c r="AB196" s="147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231</v>
      </c>
      <c r="F197" s="13">
        <v>2.0</v>
      </c>
      <c r="G197" s="31" t="s">
        <v>24</v>
      </c>
      <c r="H197" s="13">
        <v>0.0</v>
      </c>
      <c r="I197" s="17" t="s">
        <v>135</v>
      </c>
      <c r="J197" s="148"/>
      <c r="K197" s="149">
        <f t="shared" si="17"/>
        <v>3</v>
      </c>
      <c r="L197" s="150">
        <f t="shared" si="18"/>
        <v>0</v>
      </c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AA197" s="3"/>
      <c r="AB197" s="147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48"/>
      <c r="K198" s="149">
        <f t="shared" si="17"/>
        <v>3</v>
      </c>
      <c r="L198" s="150">
        <f t="shared" si="18"/>
        <v>0</v>
      </c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AA198" s="3"/>
      <c r="AB198" s="147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2"/>
      <c r="C199" s="164"/>
      <c r="D199" s="164"/>
      <c r="E199" s="17">
        <v>0.0</v>
      </c>
      <c r="F199" s="31"/>
      <c r="G199" s="31" t="s">
        <v>24</v>
      </c>
      <c r="H199" s="31"/>
      <c r="I199" s="17" t="s">
        <v>122</v>
      </c>
      <c r="J199" s="148"/>
      <c r="K199" s="149" t="str">
        <f t="shared" si="17"/>
        <v/>
      </c>
      <c r="L199" s="150" t="str">
        <f t="shared" si="18"/>
        <v/>
      </c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AA199" s="3"/>
      <c r="AB199" s="147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62"/>
      <c r="C200" s="163"/>
      <c r="D200" s="164"/>
      <c r="E200" s="17">
        <v>0.0</v>
      </c>
      <c r="F200" s="31"/>
      <c r="G200" s="31" t="s">
        <v>24</v>
      </c>
      <c r="H200" s="31"/>
      <c r="I200" s="17" t="s">
        <v>64</v>
      </c>
      <c r="J200" s="148"/>
      <c r="K200" s="149" t="str">
        <f t="shared" si="17"/>
        <v/>
      </c>
      <c r="L200" s="150" t="str">
        <f t="shared" si="18"/>
        <v/>
      </c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AA200" s="3"/>
      <c r="AB200" s="147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48"/>
      <c r="K201" s="149">
        <f t="shared" si="17"/>
        <v>1</v>
      </c>
      <c r="L201" s="150">
        <f t="shared" si="18"/>
        <v>2</v>
      </c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AA201" s="3"/>
      <c r="AB201" s="147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115</v>
      </c>
      <c r="J202" s="148"/>
      <c r="K202" s="149">
        <f t="shared" si="17"/>
        <v>0</v>
      </c>
      <c r="L202" s="150">
        <f t="shared" si="18"/>
        <v>3</v>
      </c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AA202" s="3"/>
      <c r="AB202" s="147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135</v>
      </c>
      <c r="F203" s="13">
        <v>2.0</v>
      </c>
      <c r="G203" s="31" t="s">
        <v>24</v>
      </c>
      <c r="H203" s="13">
        <v>0.0</v>
      </c>
      <c r="I203" s="17" t="s">
        <v>232</v>
      </c>
      <c r="J203" s="148"/>
      <c r="K203" s="149">
        <f t="shared" si="17"/>
        <v>3</v>
      </c>
      <c r="L203" s="150">
        <f t="shared" si="18"/>
        <v>0</v>
      </c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AA203" s="3"/>
      <c r="AB203" s="147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231</v>
      </c>
      <c r="J204" s="148"/>
      <c r="K204" s="149">
        <f t="shared" si="17"/>
        <v>1</v>
      </c>
      <c r="L204" s="150">
        <f t="shared" si="18"/>
        <v>2</v>
      </c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AA204" s="3"/>
      <c r="AB204" s="147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122</v>
      </c>
      <c r="F205" s="13">
        <v>2.0</v>
      </c>
      <c r="G205" s="31" t="s">
        <v>24</v>
      </c>
      <c r="H205" s="13">
        <v>0.0</v>
      </c>
      <c r="I205" s="17" t="s">
        <v>31</v>
      </c>
      <c r="J205" s="148"/>
      <c r="K205" s="149">
        <f t="shared" si="17"/>
        <v>3</v>
      </c>
      <c r="L205" s="150">
        <f t="shared" si="18"/>
        <v>0</v>
      </c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AA205" s="3"/>
      <c r="AB205" s="147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48"/>
      <c r="K206" s="149">
        <f t="shared" si="17"/>
        <v>3</v>
      </c>
      <c r="L206" s="150">
        <f t="shared" si="18"/>
        <v>0</v>
      </c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AA206" s="3"/>
      <c r="AB206" s="147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48"/>
      <c r="K207" s="149">
        <f t="shared" si="17"/>
        <v>0</v>
      </c>
      <c r="L207" s="150">
        <f t="shared" si="18"/>
        <v>3</v>
      </c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AA207" s="3"/>
      <c r="AB207" s="147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35</v>
      </c>
      <c r="D208" s="12" t="s">
        <v>22</v>
      </c>
      <c r="E208" s="17" t="s">
        <v>115</v>
      </c>
      <c r="F208" s="13">
        <v>2.0</v>
      </c>
      <c r="G208" s="31" t="s">
        <v>24</v>
      </c>
      <c r="H208" s="13">
        <v>0.0</v>
      </c>
      <c r="I208" s="17" t="s">
        <v>135</v>
      </c>
      <c r="J208" s="148"/>
      <c r="K208" s="149">
        <f t="shared" si="17"/>
        <v>3</v>
      </c>
      <c r="L208" s="150">
        <f t="shared" si="18"/>
        <v>0</v>
      </c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AA208" s="3"/>
      <c r="AB208" s="147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35</v>
      </c>
      <c r="D209" s="12" t="s">
        <v>22</v>
      </c>
      <c r="E209" s="17" t="s">
        <v>232</v>
      </c>
      <c r="F209" s="13">
        <v>2.0</v>
      </c>
      <c r="G209" s="31" t="s">
        <v>24</v>
      </c>
      <c r="H209" s="13">
        <v>0.0</v>
      </c>
      <c r="I209" s="17" t="s">
        <v>68</v>
      </c>
      <c r="J209" s="148"/>
      <c r="K209" s="149">
        <f t="shared" si="17"/>
        <v>3</v>
      </c>
      <c r="L209" s="150">
        <f t="shared" si="18"/>
        <v>0</v>
      </c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AA209" s="3"/>
      <c r="AB209" s="147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35</v>
      </c>
      <c r="D210" s="12" t="s">
        <v>22</v>
      </c>
      <c r="E210" s="17" t="s">
        <v>231</v>
      </c>
      <c r="F210" s="13">
        <v>1.0</v>
      </c>
      <c r="G210" s="31" t="s">
        <v>24</v>
      </c>
      <c r="H210" s="13">
        <v>2.0</v>
      </c>
      <c r="I210" s="17" t="s">
        <v>122</v>
      </c>
      <c r="J210" s="148"/>
      <c r="K210" s="149">
        <f t="shared" si="17"/>
        <v>1</v>
      </c>
      <c r="L210" s="150">
        <f t="shared" si="18"/>
        <v>2</v>
      </c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AA210" s="3"/>
      <c r="AB210" s="147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2"/>
      <c r="C211" s="164"/>
      <c r="D211" s="164"/>
      <c r="E211" s="17" t="s">
        <v>31</v>
      </c>
      <c r="F211" s="31"/>
      <c r="G211" s="31" t="s">
        <v>24</v>
      </c>
      <c r="H211" s="31"/>
      <c r="I211" s="17">
        <v>0.0</v>
      </c>
      <c r="J211" s="148"/>
      <c r="K211" s="149" t="str">
        <f t="shared" si="17"/>
        <v/>
      </c>
      <c r="L211" s="150" t="str">
        <f t="shared" si="18"/>
        <v/>
      </c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AA211" s="3"/>
      <c r="AB211" s="147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2"/>
      <c r="E212" s="147"/>
      <c r="I212" s="147"/>
      <c r="AA212" s="3"/>
      <c r="AB212" s="147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2"/>
      <c r="E213" s="147"/>
      <c r="I213" s="147"/>
      <c r="AA213" s="3"/>
      <c r="AB213" s="147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2"/>
      <c r="E214" s="147"/>
      <c r="I214" s="147"/>
      <c r="AA214" s="3"/>
      <c r="AB214" s="147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2"/>
      <c r="E215" s="147"/>
      <c r="I215" s="147"/>
      <c r="AA215" s="3"/>
      <c r="AB215" s="147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234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3" t="s">
        <v>210</v>
      </c>
      <c r="U217" s="173" t="s">
        <v>211</v>
      </c>
      <c r="V217" s="173" t="s">
        <v>212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1" t="s">
        <v>210</v>
      </c>
      <c r="AH217" s="121" t="s">
        <v>211</v>
      </c>
      <c r="AI217" s="121" t="s">
        <v>212</v>
      </c>
      <c r="AJ217" s="3"/>
    </row>
    <row r="218" ht="15.75" customHeight="1">
      <c r="A218" s="102">
        <v>1.0</v>
      </c>
      <c r="B218" s="43"/>
      <c r="C218" s="12"/>
      <c r="D218" s="12"/>
      <c r="E218" s="44" t="s">
        <v>40</v>
      </c>
      <c r="F218" s="13"/>
      <c r="G218" s="16" t="s">
        <v>24</v>
      </c>
      <c r="H218" s="13"/>
      <c r="I218" s="44" t="s">
        <v>155</v>
      </c>
      <c r="J218" s="4"/>
      <c r="K218" s="149" t="str">
        <f t="shared" ref="K218:K220" si="25">IFS(F218=H218+2,3,F218=H218-2,0,F218=H218+1,2,F218=H218-1,1,F218="","")</f>
        <v/>
      </c>
      <c r="L218" s="150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40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ECT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102">
        <v>2.0</v>
      </c>
      <c r="B219" s="43"/>
      <c r="C219" s="12"/>
      <c r="D219" s="12"/>
      <c r="E219" s="44" t="s">
        <v>155</v>
      </c>
      <c r="F219" s="13"/>
      <c r="G219" s="16" t="s">
        <v>24</v>
      </c>
      <c r="H219" s="13"/>
      <c r="I219" s="44" t="s">
        <v>122</v>
      </c>
      <c r="J219" s="4"/>
      <c r="K219" s="149" t="str">
        <f t="shared" si="25"/>
        <v/>
      </c>
      <c r="L219" s="150" t="str">
        <f t="shared" si="26"/>
        <v/>
      </c>
      <c r="M219" s="4"/>
      <c r="N219" s="18">
        <v>2.0</v>
      </c>
      <c r="O219" s="77" t="s">
        <v>235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235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2">
        <v>3.0</v>
      </c>
      <c r="B220" s="43"/>
      <c r="C220" s="12"/>
      <c r="D220" s="12"/>
      <c r="E220" s="44" t="s">
        <v>122</v>
      </c>
      <c r="F220" s="13"/>
      <c r="G220" s="16" t="s">
        <v>24</v>
      </c>
      <c r="H220" s="13"/>
      <c r="I220" s="44" t="s">
        <v>40</v>
      </c>
      <c r="J220" s="4"/>
      <c r="K220" s="149" t="str">
        <f t="shared" si="25"/>
        <v/>
      </c>
      <c r="L220" s="150" t="str">
        <f t="shared" si="26"/>
        <v/>
      </c>
      <c r="M220" s="4"/>
      <c r="N220" s="18">
        <v>3.0</v>
      </c>
      <c r="O220" s="77" t="s">
        <v>122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122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236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3">
        <v>46155.0</v>
      </c>
      <c r="C227" s="12" t="s">
        <v>162</v>
      </c>
      <c r="D227" s="12" t="s">
        <v>22</v>
      </c>
      <c r="E227" s="44" t="s">
        <v>36</v>
      </c>
      <c r="F227" s="31"/>
      <c r="G227" s="16" t="s">
        <v>24</v>
      </c>
      <c r="H227" s="31"/>
      <c r="I227" s="44" t="s">
        <v>115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3">
        <v>46155.0</v>
      </c>
      <c r="C228" s="12" t="s">
        <v>162</v>
      </c>
      <c r="D228" s="12" t="s">
        <v>22</v>
      </c>
      <c r="E228" s="44" t="s">
        <v>43</v>
      </c>
      <c r="F228" s="31"/>
      <c r="G228" s="16" t="s">
        <v>24</v>
      </c>
      <c r="H228" s="31"/>
      <c r="I228" s="44" t="s">
        <v>237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3">
        <v>46155.0</v>
      </c>
      <c r="C229" s="12" t="s">
        <v>53</v>
      </c>
      <c r="D229" s="12" t="s">
        <v>22</v>
      </c>
      <c r="E229" s="44" t="s">
        <v>33</v>
      </c>
      <c r="F229" s="31"/>
      <c r="G229" s="16" t="s">
        <v>24</v>
      </c>
      <c r="H229" s="31"/>
      <c r="I229" s="44" t="s">
        <v>101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53</v>
      </c>
      <c r="D230" s="12" t="s">
        <v>22</v>
      </c>
      <c r="E230" s="44" t="s">
        <v>25</v>
      </c>
      <c r="F230" s="31"/>
      <c r="G230" s="16" t="s">
        <v>24</v>
      </c>
      <c r="H230" s="31"/>
      <c r="I230" s="44" t="s">
        <v>120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81</v>
      </c>
      <c r="B231" s="43"/>
      <c r="C231" s="12"/>
      <c r="D231" s="12"/>
      <c r="E231" s="44" t="s">
        <v>82</v>
      </c>
      <c r="F231" s="31"/>
      <c r="G231" s="16" t="s">
        <v>24</v>
      </c>
      <c r="H231" s="31"/>
      <c r="I231" s="44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6"/>
      <c r="C232" s="31"/>
      <c r="D232" s="12"/>
      <c r="E232" s="51" t="s">
        <v>84</v>
      </c>
      <c r="F232" s="13"/>
      <c r="G232" s="16" t="s">
        <v>24</v>
      </c>
      <c r="H232" s="13"/>
      <c r="I232" s="44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86</v>
      </c>
      <c r="B233" s="30"/>
      <c r="C233" s="31"/>
      <c r="D233" s="12"/>
      <c r="E233" s="44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89</v>
      </c>
      <c r="B234" s="30"/>
      <c r="C234" s="31"/>
      <c r="D234" s="12"/>
      <c r="E234" s="44" t="s">
        <v>90</v>
      </c>
      <c r="F234" s="31"/>
      <c r="G234" s="16" t="s">
        <v>24</v>
      </c>
      <c r="H234" s="31"/>
      <c r="I234" s="44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72"/>
      <c r="E235" s="147"/>
      <c r="I235" s="147"/>
      <c r="AA235" s="3"/>
      <c r="AB235" s="147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2"/>
      <c r="E236" s="147"/>
      <c r="I236" s="147"/>
      <c r="AA236" s="3"/>
      <c r="AB236" s="147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2"/>
      <c r="E237" s="147"/>
      <c r="I237" s="147"/>
      <c r="AA237" s="3"/>
      <c r="AB237" s="147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2"/>
      <c r="E238" s="147"/>
      <c r="I238" s="147"/>
      <c r="AA238" s="3"/>
      <c r="AB238" s="147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2"/>
      <c r="E239" s="147"/>
      <c r="I239" s="147"/>
      <c r="AA239" s="3"/>
      <c r="AB239" s="147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2"/>
      <c r="E240" s="147"/>
      <c r="I240" s="147"/>
      <c r="AA240" s="3"/>
      <c r="AB240" s="147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2"/>
      <c r="E241" s="147"/>
      <c r="I241" s="147"/>
      <c r="AA241" s="3"/>
      <c r="AB241" s="147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2"/>
      <c r="E242" s="147"/>
      <c r="I242" s="147"/>
      <c r="AA242" s="3"/>
      <c r="AB242" s="147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2"/>
      <c r="E243" s="147"/>
      <c r="I243" s="147"/>
      <c r="AA243" s="3"/>
      <c r="AB243" s="147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2"/>
      <c r="E244" s="147"/>
      <c r="I244" s="147"/>
      <c r="AA244" s="3"/>
      <c r="AB244" s="147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2"/>
      <c r="E245" s="147"/>
      <c r="I245" s="147"/>
      <c r="AA245" s="3"/>
      <c r="AB245" s="147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2"/>
      <c r="E246" s="147"/>
      <c r="I246" s="147"/>
      <c r="AA246" s="3"/>
      <c r="AB246" s="147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2"/>
      <c r="E247" s="147"/>
      <c r="I247" s="147"/>
      <c r="AA247" s="3"/>
      <c r="AB247" s="147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2"/>
      <c r="E248" s="147"/>
      <c r="I248" s="147"/>
      <c r="AA248" s="3"/>
      <c r="AB248" s="147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2"/>
      <c r="E249" s="147"/>
      <c r="I249" s="147"/>
      <c r="AA249" s="3"/>
      <c r="AB249" s="147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2"/>
      <c r="E250" s="147"/>
      <c r="I250" s="147"/>
      <c r="AA250" s="3"/>
      <c r="AB250" s="147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2"/>
      <c r="E251" s="147"/>
      <c r="I251" s="147"/>
      <c r="AA251" s="3"/>
      <c r="AB251" s="147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2"/>
      <c r="E252" s="147"/>
      <c r="I252" s="147"/>
      <c r="AA252" s="3"/>
      <c r="AB252" s="147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2"/>
      <c r="E253" s="147"/>
      <c r="I253" s="147"/>
      <c r="AA253" s="3"/>
      <c r="AB253" s="147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2"/>
      <c r="E254" s="147"/>
      <c r="I254" s="147"/>
      <c r="AA254" s="3"/>
      <c r="AB254" s="147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2"/>
      <c r="E255" s="147"/>
      <c r="I255" s="147"/>
      <c r="AA255" s="3"/>
      <c r="AB255" s="147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2"/>
      <c r="E256" s="147"/>
      <c r="I256" s="147"/>
      <c r="AA256" s="3"/>
      <c r="AB256" s="147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2"/>
      <c r="E257" s="147"/>
      <c r="I257" s="147"/>
      <c r="AA257" s="3"/>
      <c r="AB257" s="147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2"/>
      <c r="E258" s="147"/>
      <c r="I258" s="147"/>
      <c r="AA258" s="3"/>
      <c r="AB258" s="147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2"/>
      <c r="E259" s="147"/>
      <c r="I259" s="147"/>
      <c r="AA259" s="3"/>
      <c r="AB259" s="147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2"/>
      <c r="E260" s="147"/>
      <c r="I260" s="147"/>
      <c r="AA260" s="3"/>
      <c r="AB260" s="147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2"/>
      <c r="E261" s="147"/>
      <c r="I261" s="147"/>
      <c r="AA261" s="3"/>
      <c r="AB261" s="147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2"/>
      <c r="E262" s="147"/>
      <c r="I262" s="147"/>
      <c r="AA262" s="3"/>
      <c r="AB262" s="147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2"/>
      <c r="E263" s="147"/>
      <c r="I263" s="147"/>
      <c r="AA263" s="3"/>
      <c r="AB263" s="147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2"/>
      <c r="E264" s="147"/>
      <c r="I264" s="147"/>
      <c r="AA264" s="3"/>
      <c r="AB264" s="147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2"/>
      <c r="E265" s="147"/>
      <c r="I265" s="147"/>
      <c r="AA265" s="3"/>
      <c r="AB265" s="147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2"/>
      <c r="E266" s="147"/>
      <c r="I266" s="147"/>
      <c r="AA266" s="3"/>
      <c r="AB266" s="147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2"/>
      <c r="E267" s="147"/>
      <c r="I267" s="147"/>
      <c r="AA267" s="3"/>
      <c r="AB267" s="147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2"/>
      <c r="E268" s="147"/>
      <c r="I268" s="147"/>
      <c r="AA268" s="3"/>
      <c r="AB268" s="147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2"/>
      <c r="E269" s="147"/>
      <c r="I269" s="147"/>
      <c r="AA269" s="3"/>
      <c r="AB269" s="147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2"/>
      <c r="E270" s="147"/>
      <c r="I270" s="147"/>
      <c r="AA270" s="3"/>
      <c r="AB270" s="147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2"/>
      <c r="E271" s="147"/>
      <c r="I271" s="147"/>
      <c r="AA271" s="3"/>
      <c r="AB271" s="147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2"/>
      <c r="E272" s="147"/>
      <c r="I272" s="147"/>
      <c r="AA272" s="3"/>
      <c r="AB272" s="147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2"/>
      <c r="E273" s="147"/>
      <c r="I273" s="147"/>
      <c r="AA273" s="3"/>
      <c r="AB273" s="147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2"/>
      <c r="E274" s="147"/>
      <c r="I274" s="147"/>
      <c r="AA274" s="3"/>
      <c r="AB274" s="147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2"/>
      <c r="E275" s="147"/>
      <c r="I275" s="147"/>
      <c r="AA275" s="3"/>
      <c r="AB275" s="147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2"/>
      <c r="E276" s="147"/>
      <c r="I276" s="147"/>
      <c r="AA276" s="3"/>
      <c r="AB276" s="147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2"/>
      <c r="E277" s="147"/>
      <c r="I277" s="147"/>
      <c r="AA277" s="3"/>
      <c r="AB277" s="147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2"/>
      <c r="E278" s="147"/>
      <c r="I278" s="147"/>
      <c r="AA278" s="3"/>
      <c r="AB278" s="147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2"/>
      <c r="E279" s="147"/>
      <c r="I279" s="147"/>
      <c r="AA279" s="3"/>
      <c r="AB279" s="147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2"/>
      <c r="E280" s="147"/>
      <c r="I280" s="147"/>
      <c r="AA280" s="3"/>
      <c r="AB280" s="147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2"/>
      <c r="E281" s="147"/>
      <c r="I281" s="147"/>
      <c r="AA281" s="3"/>
      <c r="AB281" s="147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2"/>
      <c r="E282" s="147"/>
      <c r="I282" s="147"/>
      <c r="AA282" s="3"/>
      <c r="AB282" s="147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2"/>
      <c r="E283" s="147"/>
      <c r="I283" s="147"/>
      <c r="AA283" s="3"/>
      <c r="AB283" s="147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2"/>
      <c r="E284" s="147"/>
      <c r="I284" s="147"/>
      <c r="AA284" s="3"/>
      <c r="AB284" s="147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2"/>
      <c r="E285" s="147"/>
      <c r="I285" s="147"/>
      <c r="AA285" s="3"/>
      <c r="AB285" s="147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2"/>
      <c r="E286" s="147"/>
      <c r="I286" s="147"/>
      <c r="AA286" s="3"/>
      <c r="AB286" s="147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2"/>
      <c r="E287" s="147"/>
      <c r="I287" s="147"/>
      <c r="AA287" s="3"/>
      <c r="AB287" s="147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2"/>
      <c r="E288" s="147"/>
      <c r="I288" s="147"/>
      <c r="AA288" s="3"/>
      <c r="AB288" s="147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2"/>
      <c r="E289" s="147"/>
      <c r="I289" s="147"/>
      <c r="AA289" s="3"/>
      <c r="AB289" s="147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2"/>
      <c r="E290" s="147"/>
      <c r="I290" s="147"/>
      <c r="AA290" s="3"/>
      <c r="AB290" s="147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2"/>
      <c r="E291" s="147"/>
      <c r="I291" s="147"/>
      <c r="AA291" s="3"/>
      <c r="AB291" s="147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2"/>
      <c r="E292" s="147"/>
      <c r="I292" s="147"/>
      <c r="AA292" s="3"/>
      <c r="AB292" s="147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2"/>
      <c r="E293" s="147"/>
      <c r="I293" s="147"/>
      <c r="AA293" s="3"/>
      <c r="AB293" s="147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2"/>
      <c r="E294" s="147"/>
      <c r="I294" s="147"/>
      <c r="AA294" s="3"/>
      <c r="AB294" s="147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2"/>
      <c r="E295" s="147"/>
      <c r="I295" s="147"/>
      <c r="AA295" s="3"/>
      <c r="AB295" s="147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2"/>
      <c r="E296" s="147"/>
      <c r="I296" s="147"/>
      <c r="AA296" s="3"/>
      <c r="AB296" s="147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2"/>
      <c r="E297" s="147"/>
      <c r="I297" s="147"/>
      <c r="AA297" s="3"/>
      <c r="AB297" s="147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2"/>
      <c r="E298" s="147"/>
      <c r="I298" s="147"/>
      <c r="AA298" s="3"/>
      <c r="AB298" s="147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2"/>
      <c r="E299" s="147"/>
      <c r="I299" s="147"/>
      <c r="AA299" s="3"/>
      <c r="AB299" s="147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2"/>
      <c r="E300" s="147"/>
      <c r="I300" s="147"/>
      <c r="AA300" s="3"/>
      <c r="AB300" s="147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2"/>
      <c r="E301" s="147"/>
      <c r="I301" s="147"/>
      <c r="AA301" s="3"/>
      <c r="AB301" s="147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2"/>
      <c r="E302" s="147"/>
      <c r="I302" s="147"/>
      <c r="AA302" s="3"/>
      <c r="AB302" s="147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2"/>
      <c r="E303" s="147"/>
      <c r="I303" s="147"/>
      <c r="AA303" s="3"/>
      <c r="AB303" s="147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2"/>
      <c r="E304" s="147"/>
      <c r="I304" s="147"/>
      <c r="AA304" s="3"/>
      <c r="AB304" s="147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2"/>
      <c r="E305" s="147"/>
      <c r="I305" s="147"/>
      <c r="AA305" s="3"/>
      <c r="AB305" s="147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2"/>
      <c r="E306" s="147"/>
      <c r="I306" s="147"/>
      <c r="AA306" s="3"/>
      <c r="AB306" s="147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2"/>
      <c r="E307" s="147"/>
      <c r="I307" s="147"/>
      <c r="AA307" s="3"/>
      <c r="AB307" s="147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2"/>
      <c r="E308" s="147"/>
      <c r="I308" s="147"/>
      <c r="AA308" s="3"/>
      <c r="AB308" s="147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2"/>
      <c r="E309" s="147"/>
      <c r="I309" s="147"/>
      <c r="AA309" s="3"/>
      <c r="AB309" s="147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2"/>
      <c r="E310" s="147"/>
      <c r="I310" s="147"/>
      <c r="AA310" s="3"/>
      <c r="AB310" s="147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2"/>
      <c r="E311" s="147"/>
      <c r="I311" s="147"/>
      <c r="AA311" s="3"/>
      <c r="AB311" s="147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2"/>
      <c r="E312" s="147"/>
      <c r="I312" s="147"/>
      <c r="AA312" s="3"/>
      <c r="AB312" s="147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2"/>
      <c r="E313" s="147"/>
      <c r="I313" s="147"/>
      <c r="AA313" s="3"/>
      <c r="AB313" s="147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2"/>
      <c r="E314" s="147"/>
      <c r="I314" s="147"/>
      <c r="AA314" s="3"/>
      <c r="AB314" s="147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2"/>
      <c r="E315" s="147"/>
      <c r="I315" s="147"/>
      <c r="AA315" s="3"/>
      <c r="AB315" s="147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2"/>
      <c r="E316" s="147"/>
      <c r="I316" s="147"/>
      <c r="AA316" s="3"/>
      <c r="AB316" s="147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2"/>
      <c r="E317" s="147"/>
      <c r="I317" s="147"/>
      <c r="AA317" s="3"/>
      <c r="AB317" s="147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2"/>
      <c r="E318" s="147"/>
      <c r="I318" s="147"/>
      <c r="AA318" s="3"/>
      <c r="AB318" s="147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2"/>
      <c r="E319" s="147"/>
      <c r="I319" s="147"/>
      <c r="AA319" s="3"/>
      <c r="AB319" s="147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2"/>
      <c r="E320" s="147"/>
      <c r="I320" s="147"/>
      <c r="AA320" s="3"/>
      <c r="AB320" s="147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2"/>
      <c r="E321" s="147"/>
      <c r="I321" s="147"/>
      <c r="AA321" s="3"/>
      <c r="AB321" s="147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2"/>
      <c r="E322" s="147"/>
      <c r="I322" s="147"/>
      <c r="AA322" s="3"/>
      <c r="AB322" s="147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2"/>
      <c r="E323" s="147"/>
      <c r="I323" s="147"/>
      <c r="AA323" s="3"/>
      <c r="AB323" s="147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2"/>
      <c r="E324" s="147"/>
      <c r="I324" s="147"/>
      <c r="AA324" s="3"/>
      <c r="AB324" s="147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2"/>
      <c r="E325" s="147"/>
      <c r="I325" s="147"/>
      <c r="AA325" s="3"/>
      <c r="AB325" s="147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2"/>
      <c r="E326" s="147"/>
      <c r="I326" s="147"/>
      <c r="AA326" s="3"/>
      <c r="AB326" s="147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2"/>
      <c r="E327" s="147"/>
      <c r="I327" s="147"/>
      <c r="AA327" s="3"/>
      <c r="AB327" s="147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2"/>
      <c r="E328" s="147"/>
      <c r="I328" s="147"/>
      <c r="AA328" s="3"/>
      <c r="AB328" s="147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2"/>
      <c r="E329" s="147"/>
      <c r="I329" s="147"/>
      <c r="AA329" s="3"/>
      <c r="AB329" s="147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2"/>
      <c r="E330" s="147"/>
      <c r="I330" s="147"/>
      <c r="AA330" s="3"/>
      <c r="AB330" s="147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2"/>
      <c r="E331" s="147"/>
      <c r="I331" s="147"/>
      <c r="AA331" s="3"/>
      <c r="AB331" s="147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2"/>
      <c r="E332" s="147"/>
      <c r="I332" s="147"/>
      <c r="AA332" s="3"/>
      <c r="AB332" s="147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2"/>
      <c r="E333" s="147"/>
      <c r="I333" s="147"/>
      <c r="AA333" s="3"/>
      <c r="AB333" s="147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2"/>
      <c r="E334" s="147"/>
      <c r="I334" s="147"/>
      <c r="AA334" s="3"/>
      <c r="AB334" s="147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2"/>
      <c r="E335" s="147"/>
      <c r="I335" s="147"/>
      <c r="AA335" s="3"/>
      <c r="AB335" s="147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2"/>
      <c r="E336" s="147"/>
      <c r="I336" s="147"/>
      <c r="AA336" s="3"/>
      <c r="AB336" s="147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2"/>
      <c r="E337" s="147"/>
      <c r="I337" s="147"/>
      <c r="AA337" s="3"/>
      <c r="AB337" s="147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2"/>
      <c r="E338" s="147"/>
      <c r="I338" s="147"/>
      <c r="AA338" s="3"/>
      <c r="AB338" s="147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2"/>
      <c r="E339" s="147"/>
      <c r="I339" s="147"/>
      <c r="AA339" s="3"/>
      <c r="AB339" s="147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2"/>
      <c r="E340" s="147"/>
      <c r="I340" s="147"/>
      <c r="AA340" s="3"/>
      <c r="AB340" s="147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2"/>
      <c r="E341" s="147"/>
      <c r="I341" s="147"/>
      <c r="AA341" s="3"/>
      <c r="AB341" s="147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2"/>
      <c r="E342" s="147"/>
      <c r="I342" s="147"/>
      <c r="AA342" s="3"/>
      <c r="AB342" s="147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2"/>
      <c r="E343" s="147"/>
      <c r="I343" s="147"/>
      <c r="AA343" s="3"/>
      <c r="AB343" s="147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4" t="s">
        <v>238</v>
      </c>
      <c r="B1" s="175" t="s">
        <v>239</v>
      </c>
      <c r="C1" s="175" t="s">
        <v>240</v>
      </c>
      <c r="D1" s="175" t="s">
        <v>241</v>
      </c>
      <c r="E1" s="175" t="s">
        <v>242</v>
      </c>
      <c r="F1" s="175" t="s">
        <v>243</v>
      </c>
      <c r="G1" s="175" t="s">
        <v>244</v>
      </c>
      <c r="H1" s="175" t="s">
        <v>245</v>
      </c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</row>
    <row r="2" ht="15.75" customHeight="1">
      <c r="A2" s="177" t="s">
        <v>246</v>
      </c>
      <c r="B2" s="178" t="s">
        <v>247</v>
      </c>
      <c r="C2" s="179" t="s">
        <v>31</v>
      </c>
      <c r="D2" s="179" t="s">
        <v>248</v>
      </c>
      <c r="E2" s="180">
        <v>108125.0</v>
      </c>
      <c r="F2" s="181" t="s">
        <v>249</v>
      </c>
      <c r="G2" s="178" t="s">
        <v>250</v>
      </c>
      <c r="H2" s="179" t="s">
        <v>251</v>
      </c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</row>
    <row r="3" ht="15.75" customHeight="1">
      <c r="A3" s="177" t="s">
        <v>246</v>
      </c>
      <c r="B3" s="178" t="s">
        <v>252</v>
      </c>
      <c r="C3" s="178" t="s">
        <v>32</v>
      </c>
      <c r="D3" s="178" t="s">
        <v>253</v>
      </c>
      <c r="E3" s="182">
        <v>89159.0</v>
      </c>
      <c r="F3" s="183" t="s">
        <v>254</v>
      </c>
      <c r="G3" s="178" t="s">
        <v>250</v>
      </c>
      <c r="H3" s="178" t="s">
        <v>255</v>
      </c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</row>
    <row r="4" ht="15.75" customHeight="1">
      <c r="A4" s="177" t="s">
        <v>246</v>
      </c>
      <c r="B4" s="178" t="s">
        <v>256</v>
      </c>
      <c r="C4" s="178" t="s">
        <v>115</v>
      </c>
      <c r="D4" s="178" t="s">
        <v>257</v>
      </c>
      <c r="E4" s="182">
        <v>100096.0</v>
      </c>
      <c r="F4" s="183" t="s">
        <v>258</v>
      </c>
      <c r="G4" s="178" t="s">
        <v>250</v>
      </c>
      <c r="H4" s="178" t="s">
        <v>259</v>
      </c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</row>
    <row r="5" ht="15.75" customHeight="1">
      <c r="A5" s="177" t="s">
        <v>246</v>
      </c>
      <c r="B5" s="178" t="s">
        <v>260</v>
      </c>
      <c r="C5" s="178" t="s">
        <v>59</v>
      </c>
      <c r="D5" s="178" t="s">
        <v>261</v>
      </c>
      <c r="E5" s="182">
        <v>108498.0</v>
      </c>
      <c r="F5" s="183" t="s">
        <v>262</v>
      </c>
      <c r="G5" s="178" t="s">
        <v>250</v>
      </c>
      <c r="H5" s="178" t="s">
        <v>263</v>
      </c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</row>
    <row r="6" ht="15.75" customHeight="1">
      <c r="A6" s="177" t="s">
        <v>246</v>
      </c>
      <c r="B6" s="178" t="s">
        <v>264</v>
      </c>
      <c r="C6" s="178" t="s">
        <v>67</v>
      </c>
      <c r="D6" s="178" t="s">
        <v>265</v>
      </c>
      <c r="E6" s="182">
        <v>110713.0</v>
      </c>
      <c r="F6" s="183" t="s">
        <v>258</v>
      </c>
      <c r="G6" s="178" t="s">
        <v>250</v>
      </c>
      <c r="H6" s="178" t="s">
        <v>266</v>
      </c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</row>
    <row r="7" ht="15.75" customHeight="1">
      <c r="A7" s="177" t="s">
        <v>246</v>
      </c>
      <c r="B7" s="178" t="s">
        <v>267</v>
      </c>
      <c r="C7" s="178" t="s">
        <v>63</v>
      </c>
      <c r="D7" s="178" t="s">
        <v>268</v>
      </c>
      <c r="E7" s="182">
        <v>108196.0</v>
      </c>
      <c r="F7" s="183" t="s">
        <v>262</v>
      </c>
      <c r="G7" s="178" t="s">
        <v>250</v>
      </c>
      <c r="H7" s="178" t="s">
        <v>263</v>
      </c>
      <c r="I7" s="176"/>
      <c r="J7" s="176"/>
      <c r="K7" s="176"/>
      <c r="L7" s="176"/>
      <c r="M7" s="176"/>
      <c r="N7" s="176"/>
      <c r="O7" s="176"/>
      <c r="P7" s="176"/>
      <c r="Q7" s="176"/>
      <c r="R7" s="176"/>
      <c r="S7" s="176"/>
      <c r="T7" s="176"/>
      <c r="U7" s="176"/>
      <c r="V7" s="176"/>
      <c r="W7" s="176"/>
      <c r="X7" s="176"/>
      <c r="Y7" s="176"/>
      <c r="Z7" s="176"/>
    </row>
    <row r="8" ht="15.75" customHeight="1">
      <c r="A8" s="177" t="s">
        <v>269</v>
      </c>
      <c r="B8" s="178" t="s">
        <v>270</v>
      </c>
      <c r="C8" s="178" t="s">
        <v>169</v>
      </c>
      <c r="D8" s="178" t="s">
        <v>271</v>
      </c>
      <c r="E8" s="182">
        <v>103269.0</v>
      </c>
      <c r="F8" s="183" t="s">
        <v>262</v>
      </c>
      <c r="G8" s="178" t="s">
        <v>250</v>
      </c>
      <c r="H8" s="178" t="s">
        <v>263</v>
      </c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</row>
    <row r="9" ht="15.75" customHeight="1">
      <c r="A9" s="177" t="s">
        <v>246</v>
      </c>
      <c r="B9" s="178" t="s">
        <v>272</v>
      </c>
      <c r="C9" s="178" t="s">
        <v>41</v>
      </c>
      <c r="D9" s="178" t="s">
        <v>273</v>
      </c>
      <c r="E9" s="182">
        <v>109271.0</v>
      </c>
      <c r="F9" s="183" t="s">
        <v>262</v>
      </c>
      <c r="G9" s="178" t="s">
        <v>274</v>
      </c>
      <c r="H9" s="178" t="s">
        <v>275</v>
      </c>
      <c r="I9" s="176"/>
      <c r="J9" s="176"/>
      <c r="K9" s="176"/>
      <c r="L9" s="176"/>
      <c r="M9" s="176"/>
      <c r="N9" s="176"/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</row>
    <row r="10" ht="15.75" customHeight="1">
      <c r="A10" s="177" t="s">
        <v>246</v>
      </c>
      <c r="B10" s="178" t="s">
        <v>276</v>
      </c>
      <c r="C10" s="178" t="s">
        <v>133</v>
      </c>
      <c r="D10" s="178" t="s">
        <v>277</v>
      </c>
      <c r="E10" s="182">
        <v>108249.0</v>
      </c>
      <c r="F10" s="183" t="s">
        <v>262</v>
      </c>
      <c r="G10" s="178" t="s">
        <v>274</v>
      </c>
      <c r="H10" s="178" t="s">
        <v>275</v>
      </c>
      <c r="I10" s="176"/>
      <c r="J10" s="176"/>
      <c r="K10" s="176"/>
      <c r="L10" s="176"/>
      <c r="M10" s="176"/>
      <c r="N10" s="176"/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</row>
    <row r="11" ht="15.75" customHeight="1">
      <c r="A11" s="177" t="s">
        <v>246</v>
      </c>
      <c r="B11" s="178" t="s">
        <v>278</v>
      </c>
      <c r="C11" s="178" t="s">
        <v>40</v>
      </c>
      <c r="D11" s="178" t="s">
        <v>279</v>
      </c>
      <c r="E11" s="182">
        <v>103583.0</v>
      </c>
      <c r="F11" s="183" t="s">
        <v>262</v>
      </c>
      <c r="G11" s="178" t="s">
        <v>274</v>
      </c>
      <c r="H11" s="178" t="s">
        <v>280</v>
      </c>
      <c r="I11" s="176"/>
      <c r="J11" s="176"/>
      <c r="K11" s="176"/>
      <c r="L11" s="176"/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</row>
    <row r="12" ht="15.75" customHeight="1">
      <c r="A12" s="177" t="s">
        <v>246</v>
      </c>
      <c r="B12" s="178" t="s">
        <v>278</v>
      </c>
      <c r="C12" s="178" t="s">
        <v>40</v>
      </c>
      <c r="D12" s="178" t="s">
        <v>281</v>
      </c>
      <c r="E12" s="182">
        <v>93245.0</v>
      </c>
      <c r="F12" s="184" t="s">
        <v>282</v>
      </c>
      <c r="G12" s="185">
        <v>44870.0</v>
      </c>
      <c r="H12" s="186"/>
      <c r="I12" s="176"/>
      <c r="J12" s="176"/>
      <c r="K12" s="176"/>
      <c r="L12" s="176"/>
      <c r="M12" s="176"/>
      <c r="N12" s="176"/>
      <c r="O12" s="176"/>
      <c r="P12" s="176"/>
      <c r="Q12" s="176"/>
      <c r="R12" s="176"/>
      <c r="S12" s="176"/>
      <c r="T12" s="176"/>
      <c r="U12" s="176"/>
      <c r="V12" s="176"/>
      <c r="W12" s="176"/>
      <c r="X12" s="176"/>
      <c r="Y12" s="176"/>
      <c r="Z12" s="176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