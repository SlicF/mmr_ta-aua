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<sst xmlns="http://schemas.openxmlformats.org/spreadsheetml/2006/main" count="7108" uniqueCount="267">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</sst>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236.0</v>
      </c>
      <c r="AL78" s="24">
        <v>145.0</v>
      </c>
      <c r="AM78" s="23">
        <v>91.0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15</v>
      </c>
      <c r="Q79" s="18">
        <f t="shared" si="14"/>
        <v>3</v>
      </c>
      <c r="R79" s="20">
        <f t="shared" si="15"/>
        <v>0</v>
      </c>
      <c r="S79" s="20">
        <f t="shared" si="16"/>
        <v>6</v>
      </c>
      <c r="T79" s="18">
        <f t="shared" si="17"/>
        <v>184</v>
      </c>
      <c r="U79" s="20">
        <f t="shared" si="18"/>
        <v>201</v>
      </c>
      <c r="V79" s="18">
        <f t="shared" si="19"/>
        <v>-17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27</v>
      </c>
      <c r="Q80" s="18">
        <f t="shared" si="14"/>
        <v>9</v>
      </c>
      <c r="R80" s="20">
        <f t="shared" si="15"/>
        <v>0</v>
      </c>
      <c r="S80" s="20">
        <f t="shared" si="16"/>
        <v>0</v>
      </c>
      <c r="T80" s="18">
        <f t="shared" si="17"/>
        <v>236</v>
      </c>
      <c r="U80" s="20">
        <f t="shared" si="18"/>
        <v>145</v>
      </c>
      <c r="V80" s="18">
        <f t="shared" si="19"/>
        <v>91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62</v>
      </c>
      <c r="AG84" s="23">
        <v>15.0</v>
      </c>
      <c r="AH84" s="23">
        <v>3.0</v>
      </c>
      <c r="AI84" s="24">
        <v>0.0</v>
      </c>
      <c r="AJ84" s="24">
        <v>6.0</v>
      </c>
      <c r="AK84" s="23">
        <v>184.0</v>
      </c>
      <c r="AL84" s="24">
        <v>201.0</v>
      </c>
      <c r="AM84" s="23">
        <v>-17.0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67</v>
      </c>
      <c r="AG85" s="23">
        <v>15.0</v>
      </c>
      <c r="AH85" s="23">
        <v>3.0</v>
      </c>
      <c r="AI85" s="24">
        <v>0.0</v>
      </c>
      <c r="AJ85" s="24">
        <v>6.0</v>
      </c>
      <c r="AK85" s="23">
        <v>155.0</v>
      </c>
      <c r="AL85" s="24">
        <v>173.0</v>
      </c>
      <c r="AM85" s="23">
        <v>-18.0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31"/>
      <c r="G104" s="16" t="s">
        <v>24</v>
      </c>
      <c r="H104" s="31"/>
      <c r="I104" s="44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>
        <v>46106.0</v>
      </c>
      <c r="C116" s="12" t="s">
        <v>21</v>
      </c>
      <c r="D116" s="39" t="s">
        <v>22</v>
      </c>
      <c r="E116" s="17" t="s">
        <v>59</v>
      </c>
      <c r="F116" s="13">
        <v>31.0</v>
      </c>
      <c r="G116" s="16" t="s">
        <v>24</v>
      </c>
      <c r="H116" s="13">
        <v>16.0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31"/>
      <c r="G118" s="16" t="s">
        <v>24</v>
      </c>
      <c r="H118" s="31"/>
      <c r="I118" s="44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31"/>
      <c r="G138" s="31" t="s">
        <v>24</v>
      </c>
      <c r="H138" s="31"/>
      <c r="I138" s="44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31"/>
      <c r="G139" s="16" t="s">
        <v>24</v>
      </c>
      <c r="H139" s="31"/>
      <c r="I139" s="44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65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65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65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65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66"/>
      <c r="G57" s="66" t="s">
        <v>24</v>
      </c>
      <c r="H57" s="66"/>
      <c r="I57" s="44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66"/>
      <c r="G58" s="66" t="s">
        <v>24</v>
      </c>
      <c r="H58" s="66"/>
      <c r="I58" s="44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66"/>
      <c r="G59" s="66" t="s">
        <v>24</v>
      </c>
      <c r="H59" s="66"/>
      <c r="I59" s="44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66"/>
      <c r="G60" s="66" t="s">
        <v>24</v>
      </c>
      <c r="H60" s="66"/>
      <c r="I60" s="44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66"/>
      <c r="G61" s="66" t="s">
        <v>24</v>
      </c>
      <c r="H61" s="66"/>
      <c r="I61" s="44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66"/>
      <c r="G62" s="66" t="s">
        <v>24</v>
      </c>
      <c r="H62" s="66"/>
      <c r="I62" s="44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66"/>
      <c r="G63" s="66" t="s">
        <v>24</v>
      </c>
      <c r="H63" s="66"/>
      <c r="I63" s="44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65</v>
      </c>
      <c r="F64" s="66"/>
      <c r="G64" s="66" t="s">
        <v>24</v>
      </c>
      <c r="H64" s="66"/>
      <c r="I64" s="44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66"/>
      <c r="G65" s="66" t="s">
        <v>24</v>
      </c>
      <c r="H65" s="66"/>
      <c r="I65" s="44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66"/>
      <c r="G66" s="66" t="s">
        <v>24</v>
      </c>
      <c r="H66" s="66"/>
      <c r="I66" s="44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66"/>
      <c r="G67" s="66" t="s">
        <v>24</v>
      </c>
      <c r="H67" s="66"/>
      <c r="I67" s="44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/>
      <c r="G68" s="66" t="s">
        <v>24</v>
      </c>
      <c r="H68" s="44"/>
      <c r="I68" s="44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83"/>
      <c r="G76" s="66" t="s">
        <v>24</v>
      </c>
      <c r="H76" s="83"/>
      <c r="I76" s="84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6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118</v>
      </c>
      <c r="F77" s="17">
        <v>7.0</v>
      </c>
      <c r="G77" s="66" t="s">
        <v>24</v>
      </c>
      <c r="H77" s="17">
        <v>10.0</v>
      </c>
      <c r="I77" s="84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119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118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118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83"/>
      <c r="G99" s="66" t="s">
        <v>24</v>
      </c>
      <c r="H99" s="83"/>
      <c r="I99" s="84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83"/>
      <c r="G104" s="66" t="s">
        <v>24</v>
      </c>
      <c r="H104" s="83"/>
      <c r="I104" s="84" t="s">
        <v>112</v>
      </c>
      <c r="J104" s="62"/>
      <c r="K104" s="4" t="str">
        <f t="shared" si="11"/>
        <v/>
      </c>
      <c r="L104" s="18" t="str">
        <f t="shared" si="12"/>
        <v/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119</v>
      </c>
      <c r="F105" s="83"/>
      <c r="G105" s="66" t="s">
        <v>24</v>
      </c>
      <c r="H105" s="83"/>
      <c r="I105" s="84" t="s">
        <v>31</v>
      </c>
      <c r="J105" s="62"/>
      <c r="K105" s="4" t="str">
        <f t="shared" si="11"/>
        <v/>
      </c>
      <c r="L105" s="18" t="str">
        <f t="shared" si="12"/>
        <v/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83"/>
      <c r="G106" s="66" t="s">
        <v>24</v>
      </c>
      <c r="H106" s="83"/>
      <c r="I106" s="84" t="s">
        <v>114</v>
      </c>
      <c r="J106" s="62"/>
      <c r="K106" s="4" t="str">
        <f t="shared" si="11"/>
        <v/>
      </c>
      <c r="L106" s="18" t="str">
        <f t="shared" si="12"/>
        <v/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118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119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118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119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118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119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66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66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66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66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66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66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2"/>
      <c r="X4" s="62"/>
      <c r="Y4" s="62"/>
      <c r="Z4" s="62"/>
      <c r="AA4" s="22" t="s">
        <v>34</v>
      </c>
      <c r="AB4" s="69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2"/>
      <c r="X5" s="62"/>
      <c r="Y5" s="62"/>
      <c r="Z5" s="62"/>
      <c r="AA5" s="22" t="s">
        <v>39</v>
      </c>
      <c r="AB5" s="69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2"/>
      <c r="X9" s="62"/>
      <c r="Y9" s="62"/>
      <c r="Z9" s="62"/>
      <c r="AA9" s="52" t="s">
        <v>48</v>
      </c>
      <c r="AB9" s="69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2"/>
      <c r="X10" s="62"/>
      <c r="Y10" s="62"/>
      <c r="Z10" s="62"/>
      <c r="AA10" s="52" t="s">
        <v>135</v>
      </c>
      <c r="AB10" s="69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2"/>
      <c r="X12" s="62"/>
      <c r="Y12" s="62"/>
      <c r="Z12" s="62"/>
      <c r="AA12" s="22">
        <v>10.0</v>
      </c>
      <c r="AB12" s="69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2"/>
      <c r="X13" s="62"/>
      <c r="Y13" s="62"/>
      <c r="Z13" s="62"/>
      <c r="AA13" s="22">
        <v>11.0</v>
      </c>
      <c r="AB13" s="69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2"/>
      <c r="X14" s="62"/>
      <c r="Y14" s="62"/>
      <c r="Z14" s="62"/>
      <c r="AA14" s="22">
        <v>12.0</v>
      </c>
      <c r="AB14" s="69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2"/>
      <c r="X15" s="62"/>
      <c r="Y15" s="62"/>
      <c r="Z15" s="62"/>
      <c r="AA15" s="22">
        <v>13.0</v>
      </c>
      <c r="AB15" s="69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5"/>
      <c r="C37" s="83"/>
      <c r="D37" s="83"/>
      <c r="E37" s="44" t="s">
        <v>63</v>
      </c>
      <c r="F37" s="83"/>
      <c r="G37" s="83" t="s">
        <v>24</v>
      </c>
      <c r="H37" s="83"/>
      <c r="I37" s="44" t="s">
        <v>45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83"/>
      <c r="G45" s="83" t="s">
        <v>24</v>
      </c>
      <c r="H45" s="83"/>
      <c r="I45" s="44" t="s">
        <v>117</v>
      </c>
      <c r="J45" s="62"/>
      <c r="K45" s="4" t="str">
        <f t="shared" si="1"/>
        <v/>
      </c>
      <c r="L45" s="18" t="str">
        <f t="shared" si="2"/>
        <v/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83"/>
      <c r="G46" s="83" t="s">
        <v>24</v>
      </c>
      <c r="H46" s="83"/>
      <c r="I46" s="44" t="s">
        <v>31</v>
      </c>
      <c r="J46" s="62"/>
      <c r="K46" s="4" t="str">
        <f t="shared" si="1"/>
        <v/>
      </c>
      <c r="L46" s="18" t="str">
        <f t="shared" si="2"/>
        <v/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/>
      <c r="G47" s="83" t="s">
        <v>24</v>
      </c>
      <c r="H47" s="17"/>
      <c r="I47" s="44" t="s">
        <v>64</v>
      </c>
      <c r="J47" s="62"/>
      <c r="K47" s="4" t="str">
        <f t="shared" si="1"/>
        <v/>
      </c>
      <c r="L47" s="18" t="str">
        <f t="shared" si="2"/>
        <v/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28"/>
      <c r="G49" s="83" t="s">
        <v>24</v>
      </c>
      <c r="H49" s="28"/>
      <c r="I49" s="44" t="s">
        <v>45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83"/>
      <c r="G50" s="83" t="s">
        <v>24</v>
      </c>
      <c r="H50" s="83"/>
      <c r="I50" s="44" t="s">
        <v>40</v>
      </c>
      <c r="J50" s="62"/>
      <c r="K50" s="4" t="str">
        <f t="shared" si="1"/>
        <v/>
      </c>
      <c r="L50" s="18" t="str">
        <f t="shared" si="2"/>
        <v/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83"/>
      <c r="G51" s="83" t="s">
        <v>24</v>
      </c>
      <c r="H51" s="83"/>
      <c r="I51" s="44" t="s">
        <v>68</v>
      </c>
      <c r="J51" s="62"/>
      <c r="K51" s="4" t="str">
        <f t="shared" si="1"/>
        <v/>
      </c>
      <c r="L51" s="18" t="str">
        <f t="shared" si="2"/>
        <v/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15</v>
      </c>
      <c r="V4" s="18">
        <f t="shared" si="9"/>
        <v>11</v>
      </c>
      <c r="W4" s="62"/>
      <c r="X4" s="62"/>
      <c r="Y4" s="22" t="s">
        <v>34</v>
      </c>
      <c r="Z4" s="69" t="s">
        <v>23</v>
      </c>
      <c r="AA4" s="23">
        <v>18.0</v>
      </c>
      <c r="AB4" s="23">
        <v>6.0</v>
      </c>
      <c r="AC4" s="23">
        <v>0.0</v>
      </c>
      <c r="AD4" s="24">
        <v>1.0</v>
      </c>
      <c r="AE4" s="23">
        <v>40.0</v>
      </c>
      <c r="AF4" s="24">
        <v>10.0</v>
      </c>
      <c r="AG4" s="23">
        <v>30.0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66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36</v>
      </c>
      <c r="U5" s="20">
        <f t="shared" si="8"/>
        <v>1</v>
      </c>
      <c r="V5" s="18">
        <f t="shared" si="9"/>
        <v>35</v>
      </c>
      <c r="W5" s="62"/>
      <c r="X5" s="62"/>
      <c r="Y5" s="22" t="s">
        <v>39</v>
      </c>
      <c r="Z5" s="69" t="s">
        <v>66</v>
      </c>
      <c r="AA5" s="23">
        <v>15.0</v>
      </c>
      <c r="AB5" s="23">
        <v>5.0</v>
      </c>
      <c r="AC5" s="23">
        <v>0.0</v>
      </c>
      <c r="AD5" s="24">
        <v>0.0</v>
      </c>
      <c r="AE5" s="23">
        <v>36.0</v>
      </c>
      <c r="AF5" s="24">
        <v>1.0</v>
      </c>
      <c r="AG5" s="23">
        <v>35.0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65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15.0</v>
      </c>
      <c r="AG6" s="23">
        <v>11.0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1</v>
      </c>
      <c r="T7" s="18">
        <f t="shared" si="7"/>
        <v>40</v>
      </c>
      <c r="U7" s="20">
        <f t="shared" si="8"/>
        <v>10</v>
      </c>
      <c r="V7" s="18">
        <f t="shared" si="9"/>
        <v>30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3.0</v>
      </c>
      <c r="AE7" s="23">
        <v>26.0</v>
      </c>
      <c r="AF7" s="24">
        <v>19.0</v>
      </c>
      <c r="AG7" s="23">
        <v>7.0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2"/>
      <c r="X8" s="62"/>
      <c r="Y8" s="52" t="s">
        <v>47</v>
      </c>
      <c r="Z8" s="69" t="s">
        <v>144</v>
      </c>
      <c r="AA8" s="23">
        <v>10.0</v>
      </c>
      <c r="AB8" s="23">
        <v>3.0</v>
      </c>
      <c r="AC8" s="23">
        <v>1.0</v>
      </c>
      <c r="AD8" s="24">
        <v>3.0</v>
      </c>
      <c r="AE8" s="23">
        <v>17.0</v>
      </c>
      <c r="AF8" s="24">
        <v>24.0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26.0</v>
      </c>
      <c r="AF9" s="24">
        <v>17.0</v>
      </c>
      <c r="AG9" s="23">
        <v>9.0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26</v>
      </c>
      <c r="U10" s="20">
        <f t="shared" si="8"/>
        <v>17</v>
      </c>
      <c r="V10" s="18">
        <f t="shared" si="9"/>
        <v>9</v>
      </c>
      <c r="W10" s="62"/>
      <c r="X10" s="62"/>
      <c r="Y10" s="52" t="s">
        <v>135</v>
      </c>
      <c r="Z10" s="69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5</v>
      </c>
      <c r="T11" s="18">
        <f t="shared" si="7"/>
        <v>2</v>
      </c>
      <c r="U11" s="20">
        <f t="shared" si="8"/>
        <v>56</v>
      </c>
      <c r="V11" s="18">
        <f t="shared" si="9"/>
        <v>-54</v>
      </c>
      <c r="W11" s="62"/>
      <c r="X11" s="62"/>
      <c r="Y11" s="22">
        <v>9.0</v>
      </c>
      <c r="Z11" s="69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24.0</v>
      </c>
      <c r="AF11" s="24">
        <v>15.0</v>
      </c>
      <c r="AG11" s="23">
        <v>9.0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112</v>
      </c>
      <c r="AA12" s="23">
        <v>5.0</v>
      </c>
      <c r="AB12" s="23">
        <v>1.0</v>
      </c>
      <c r="AC12" s="23">
        <v>2.0</v>
      </c>
      <c r="AD12" s="24">
        <v>3.0</v>
      </c>
      <c r="AE12" s="23">
        <v>13.0</v>
      </c>
      <c r="AF12" s="24">
        <v>21.0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65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3</v>
      </c>
      <c r="T13" s="18">
        <f t="shared" si="7"/>
        <v>4</v>
      </c>
      <c r="U13" s="20">
        <f t="shared" si="8"/>
        <v>25</v>
      </c>
      <c r="V13" s="18">
        <f t="shared" si="9"/>
        <v>-21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3.0</v>
      </c>
      <c r="AE13" s="23">
        <v>4.0</v>
      </c>
      <c r="AF13" s="24">
        <v>25.0</v>
      </c>
      <c r="AG13" s="23">
        <v>-21.0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6</v>
      </c>
      <c r="T14" s="18">
        <f t="shared" si="7"/>
        <v>3</v>
      </c>
      <c r="U14" s="20">
        <f t="shared" si="8"/>
        <v>43</v>
      </c>
      <c r="V14" s="18">
        <f t="shared" si="9"/>
        <v>-40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5</v>
      </c>
      <c r="Q15" s="18">
        <f t="shared" si="4"/>
        <v>1</v>
      </c>
      <c r="R15" s="18">
        <f t="shared" si="5"/>
        <v>2</v>
      </c>
      <c r="S15" s="20">
        <f t="shared" si="6"/>
        <v>3</v>
      </c>
      <c r="T15" s="18">
        <f t="shared" si="7"/>
        <v>13</v>
      </c>
      <c r="U15" s="20">
        <f t="shared" si="8"/>
        <v>21</v>
      </c>
      <c r="V15" s="18">
        <f t="shared" si="9"/>
        <v>-8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3</v>
      </c>
      <c r="T16" s="18">
        <f t="shared" si="7"/>
        <v>17</v>
      </c>
      <c r="U16" s="20">
        <f t="shared" si="8"/>
        <v>24</v>
      </c>
      <c r="V16" s="18">
        <f t="shared" si="9"/>
        <v>-7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6.0</v>
      </c>
      <c r="AE16" s="23">
        <v>3.0</v>
      </c>
      <c r="AF16" s="24">
        <v>43.0</v>
      </c>
      <c r="AG16" s="23">
        <v>-40.0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3</v>
      </c>
      <c r="T17" s="18">
        <f t="shared" si="7"/>
        <v>26</v>
      </c>
      <c r="U17" s="20">
        <f t="shared" si="8"/>
        <v>19</v>
      </c>
      <c r="V17" s="18">
        <f t="shared" si="9"/>
        <v>7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5.0</v>
      </c>
      <c r="AE17" s="23">
        <v>2.0</v>
      </c>
      <c r="AF17" s="24">
        <v>56.0</v>
      </c>
      <c r="AG17" s="23">
        <v>-54.0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65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66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65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66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65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66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65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66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/>
      <c r="G63" s="83" t="s">
        <v>24</v>
      </c>
      <c r="H63" s="17"/>
      <c r="I63" s="44" t="s">
        <v>112</v>
      </c>
      <c r="J63" s="62"/>
      <c r="K63" s="4" t="str">
        <f t="shared" si="1"/>
        <v/>
      </c>
      <c r="L63" s="18" t="str">
        <f t="shared" si="2"/>
        <v/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83"/>
      <c r="G64" s="83" t="s">
        <v>24</v>
      </c>
      <c r="H64" s="83"/>
      <c r="I64" s="44" t="s">
        <v>66</v>
      </c>
      <c r="J64" s="62"/>
      <c r="K64" s="4" t="str">
        <f t="shared" si="1"/>
        <v/>
      </c>
      <c r="L64" s="18" t="str">
        <f t="shared" si="2"/>
        <v/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83"/>
      <c r="G65" s="83" t="s">
        <v>24</v>
      </c>
      <c r="H65" s="83"/>
      <c r="I65" s="44" t="s">
        <v>65</v>
      </c>
      <c r="J65" s="62"/>
      <c r="K65" s="4" t="str">
        <f t="shared" si="1"/>
        <v/>
      </c>
      <c r="L65" s="18" t="str">
        <f t="shared" si="2"/>
        <v/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/>
      <c r="L67" s="18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/>
      <c r="L68" s="18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83"/>
      <c r="G70" s="83" t="s">
        <v>24</v>
      </c>
      <c r="H70" s="83"/>
      <c r="I70" s="44" t="s">
        <v>31</v>
      </c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66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66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8">
        <v>45.0</v>
      </c>
      <c r="AM83" s="48">
        <v>-36.0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66"/>
      <c r="G116" s="83" t="s">
        <v>24</v>
      </c>
      <c r="H116" s="66"/>
      <c r="I116" s="4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66"/>
      <c r="G118" s="83" t="s">
        <v>24</v>
      </c>
      <c r="H118" s="66"/>
      <c r="I118" s="17" t="s">
        <v>32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66"/>
      <c r="G119" s="83" t="s">
        <v>24</v>
      </c>
      <c r="H119" s="66"/>
      <c r="I119" s="44" t="s">
        <v>63</v>
      </c>
      <c r="J119" s="62"/>
      <c r="K119" s="4" t="str">
        <f t="shared" si="11"/>
        <v/>
      </c>
      <c r="L119" s="18" t="str">
        <f t="shared" si="12"/>
        <v/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119</v>
      </c>
      <c r="F137" s="44">
        <v>3.0</v>
      </c>
      <c r="G137" s="8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119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119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119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65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119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18</v>
      </c>
      <c r="Q3" s="117">
        <f t="shared" ref="Q3:Q14" si="4">COUNTIFS(E$3:E$68,O3,K$3:K$68,3)+COUNTIFS(I$3:I$68,O3,L$3:L$68,3)</f>
        <v>6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27</v>
      </c>
      <c r="U3" s="118">
        <f t="shared" ref="U3:U14" si="8">SUMIF(E$3:E$68,O3,H$3:H$68)+SUMIF(I$3:I$68,O3,F$3:F$68)</f>
        <v>17</v>
      </c>
      <c r="V3" s="117">
        <f t="shared" ref="V3:V14" si="9">T3-U3</f>
        <v>10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25.0</v>
      </c>
      <c r="AD3" s="28">
        <v>8.0</v>
      </c>
      <c r="AE3" s="28">
        <v>1.0</v>
      </c>
      <c r="AF3" s="28">
        <v>0.0</v>
      </c>
      <c r="AG3" s="28">
        <v>24.0</v>
      </c>
      <c r="AH3" s="28">
        <v>8.0</v>
      </c>
      <c r="AI3" s="28">
        <v>16.0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66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18.0</v>
      </c>
      <c r="AD6" s="28">
        <v>6.0</v>
      </c>
      <c r="AE6" s="28">
        <v>0.0</v>
      </c>
      <c r="AF6" s="28">
        <v>3.0</v>
      </c>
      <c r="AG6" s="28">
        <v>27.0</v>
      </c>
      <c r="AH6" s="28">
        <v>17.0</v>
      </c>
      <c r="AI6" s="28">
        <v>10.0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66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5</v>
      </c>
      <c r="T7" s="117">
        <f t="shared" si="7"/>
        <v>17</v>
      </c>
      <c r="U7" s="118">
        <f t="shared" si="8"/>
        <v>32</v>
      </c>
      <c r="V7" s="117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14.0</v>
      </c>
      <c r="AD7" s="28">
        <v>4.0</v>
      </c>
      <c r="AE7" s="28">
        <v>2.0</v>
      </c>
      <c r="AF7" s="28">
        <v>2.0</v>
      </c>
      <c r="AG7" s="28">
        <v>18.0</v>
      </c>
      <c r="AH7" s="28">
        <v>15.0</v>
      </c>
      <c r="AI7" s="28">
        <v>3.0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5.0</v>
      </c>
      <c r="AG8" s="28">
        <v>17.0</v>
      </c>
      <c r="AH8" s="28">
        <v>32.0</v>
      </c>
      <c r="AI8" s="28">
        <v>-15.0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14</v>
      </c>
      <c r="Q9" s="117">
        <f t="shared" si="4"/>
        <v>4</v>
      </c>
      <c r="R9" s="117">
        <f t="shared" si="5"/>
        <v>2</v>
      </c>
      <c r="S9" s="118">
        <f t="shared" si="6"/>
        <v>2</v>
      </c>
      <c r="T9" s="117">
        <f t="shared" si="7"/>
        <v>18</v>
      </c>
      <c r="U9" s="118">
        <f t="shared" si="8"/>
        <v>15</v>
      </c>
      <c r="V9" s="117">
        <f t="shared" si="9"/>
        <v>3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25</v>
      </c>
      <c r="Q10" s="117">
        <f t="shared" si="4"/>
        <v>8</v>
      </c>
      <c r="R10" s="117">
        <f t="shared" si="5"/>
        <v>1</v>
      </c>
      <c r="S10" s="118">
        <f t="shared" si="6"/>
        <v>0</v>
      </c>
      <c r="T10" s="117">
        <f t="shared" si="7"/>
        <v>24</v>
      </c>
      <c r="U10" s="118">
        <f t="shared" si="8"/>
        <v>8</v>
      </c>
      <c r="V10" s="117">
        <f t="shared" si="9"/>
        <v>16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6.0</v>
      </c>
      <c r="AG11" s="28">
        <v>11.0</v>
      </c>
      <c r="AH11" s="28">
        <v>22.0</v>
      </c>
      <c r="AI11" s="28">
        <v>-11.0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6</v>
      </c>
      <c r="T14" s="117">
        <f t="shared" si="7"/>
        <v>11</v>
      </c>
      <c r="U14" s="118">
        <f t="shared" si="8"/>
        <v>22</v>
      </c>
      <c r="V14" s="117">
        <f t="shared" si="9"/>
        <v>-11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66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83"/>
      <c r="G33" s="83" t="s">
        <v>24</v>
      </c>
      <c r="H33" s="121"/>
      <c r="I33" s="44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66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66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66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83"/>
      <c r="G66" s="83" t="s">
        <v>24</v>
      </c>
      <c r="H66" s="121"/>
      <c r="I66" s="44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/>
      <c r="G68" s="83" t="s">
        <v>24</v>
      </c>
      <c r="H68" s="116"/>
      <c r="I68" s="44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65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65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65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20" t="s">
        <v>66</v>
      </c>
      <c r="Y4" s="120">
        <v>2.0</v>
      </c>
      <c r="AA4" s="22" t="s">
        <v>34</v>
      </c>
      <c r="AB4" s="69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69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69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69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10" t="s">
        <v>104</v>
      </c>
      <c r="AB11" s="69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5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2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Psicologia</v>
      </c>
      <c r="AC74" s="23">
        <v>23.0</v>
      </c>
      <c r="AD74" s="23">
        <v>8.0</v>
      </c>
      <c r="AE74" s="24"/>
      <c r="AF74" s="24">
        <v>1.0</v>
      </c>
      <c r="AG74" s="23">
        <v>17.0</v>
      </c>
      <c r="AH74" s="24">
        <v>4.0</v>
      </c>
      <c r="AI74" s="23">
        <v>13.0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20" t="s">
        <v>33</v>
      </c>
      <c r="Y75" s="120">
        <v>3.0</v>
      </c>
      <c r="AA75" s="110" t="s">
        <v>116</v>
      </c>
      <c r="AB75" s="69" t="s">
        <v>170</v>
      </c>
      <c r="AC75" s="23">
        <v>22.0</v>
      </c>
      <c r="AD75" s="23">
        <v>8.0</v>
      </c>
      <c r="AE75" s="24"/>
      <c r="AF75" s="24">
        <v>0.0</v>
      </c>
      <c r="AG75" s="23">
        <v>16.0</v>
      </c>
      <c r="AH75" s="24">
        <v>2.0</v>
      </c>
      <c r="AI75" s="23">
        <v>14.0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69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69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7</v>
      </c>
      <c r="T79" s="132">
        <f t="shared" si="14"/>
        <v>3</v>
      </c>
      <c r="U79" s="135">
        <f t="shared" si="15"/>
        <v>15</v>
      </c>
      <c r="V79" s="132">
        <f t="shared" si="16"/>
        <v>-12</v>
      </c>
      <c r="AA79" s="22">
        <v>6.0</v>
      </c>
      <c r="AB79" s="69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4">
        <v>2.0</v>
      </c>
      <c r="B80" s="145"/>
      <c r="C80" s="146"/>
      <c r="D80" s="141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69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69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69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22</v>
      </c>
      <c r="Q83" s="134">
        <f t="shared" si="12"/>
        <v>8</v>
      </c>
      <c r="R83" s="135"/>
      <c r="S83" s="135">
        <f t="shared" si="13"/>
        <v>0</v>
      </c>
      <c r="T83" s="132">
        <f t="shared" si="14"/>
        <v>16</v>
      </c>
      <c r="U83" s="135">
        <f t="shared" si="15"/>
        <v>2</v>
      </c>
      <c r="V83" s="132">
        <f t="shared" si="16"/>
        <v>14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7.0</v>
      </c>
      <c r="AG84" s="23">
        <v>3.0</v>
      </c>
      <c r="AH84" s="24">
        <v>15.0</v>
      </c>
      <c r="AI84" s="23">
        <v>-12.0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2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2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2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2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5"/>
      <c r="C104" s="146"/>
      <c r="D104" s="141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/>
      <c r="G114" s="31" t="s">
        <v>24</v>
      </c>
      <c r="H114" s="13"/>
      <c r="I114" s="17" t="s">
        <v>69</v>
      </c>
      <c r="J114" s="130"/>
      <c r="K114" s="131" t="str">
        <f t="shared" si="9"/>
        <v/>
      </c>
      <c r="L114" s="132" t="str">
        <f t="shared" si="10"/>
        <v/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5"/>
      <c r="C116" s="146"/>
      <c r="D116" s="141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5"/>
      <c r="C139" s="141"/>
      <c r="D139" s="141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20" t="s">
        <v>33</v>
      </c>
      <c r="Y147" s="120">
        <v>3.0</v>
      </c>
      <c r="AA147" s="110" t="s">
        <v>116</v>
      </c>
      <c r="AB147" s="69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20" t="s">
        <v>41</v>
      </c>
      <c r="Y148" s="120">
        <v>0.0</v>
      </c>
      <c r="AA148" s="22">
        <v>3.0</v>
      </c>
      <c r="AB148" s="69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69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69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69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4">
        <v>2.0</v>
      </c>
      <c r="B152" s="145"/>
      <c r="C152" s="146"/>
      <c r="D152" s="141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69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69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2">
        <v>11.0</v>
      </c>
      <c r="AB156" s="69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5"/>
      <c r="C164" s="141"/>
      <c r="D164" s="141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2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2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2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2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5"/>
      <c r="C176" s="146"/>
      <c r="D176" s="141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5"/>
      <c r="C188" s="146"/>
      <c r="D188" s="141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5"/>
      <c r="C211" s="141"/>
      <c r="D211" s="141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23</v>
      </c>
      <c r="Q3" s="134">
        <f t="shared" ref="Q3:Q14" si="4">COUNTIFS(E$3:E$68,O3,K$3:K$68,2)+COUNTIFS(I$3:I$68,O3,L$3:L$68,2)+COUNTIFS(E$3:E$68,O3,K$3:K$68,3)+COUNTIFS(I$3:I$68,O3,L$3:L$68,3)</f>
        <v>8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17</v>
      </c>
      <c r="U3" s="135">
        <f t="shared" ref="U3:U14" si="7">SUMIF(E$3:E$68,O3,H$3:H$68)+SUMIF(I$3:I$68,O3,F$3:F$68)</f>
        <v>6</v>
      </c>
      <c r="V3" s="132">
        <f t="shared" ref="V3:V14" si="8">T3-U3</f>
        <v>11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28.0</v>
      </c>
      <c r="AD3" s="23">
        <v>9.0</v>
      </c>
      <c r="AE3" s="23"/>
      <c r="AF3" s="24">
        <v>1.0</v>
      </c>
      <c r="AG3" s="23">
        <v>19.0</v>
      </c>
      <c r="AH3" s="24">
        <v>2.0</v>
      </c>
      <c r="AI3" s="23">
        <v>17.0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10</v>
      </c>
      <c r="T4" s="132">
        <f t="shared" si="6"/>
        <v>1</v>
      </c>
      <c r="U4" s="135">
        <f t="shared" si="7"/>
        <v>20</v>
      </c>
      <c r="V4" s="132">
        <f t="shared" si="8"/>
        <v>-19</v>
      </c>
      <c r="X4" s="120" t="s">
        <v>66</v>
      </c>
      <c r="Y4" s="120">
        <v>2.0</v>
      </c>
      <c r="AA4" s="22" t="s">
        <v>34</v>
      </c>
      <c r="AB4" s="69" t="s">
        <v>43</v>
      </c>
      <c r="AC4" s="23">
        <v>27.0</v>
      </c>
      <c r="AD4" s="23">
        <v>9.0</v>
      </c>
      <c r="AE4" s="23"/>
      <c r="AF4" s="24">
        <v>1.0</v>
      </c>
      <c r="AG4" s="23">
        <v>19.0</v>
      </c>
      <c r="AH4" s="24">
        <v>3.0</v>
      </c>
      <c r="AI4" s="23">
        <v>16.0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16</v>
      </c>
      <c r="Q5" s="134">
        <f t="shared" si="4"/>
        <v>5</v>
      </c>
      <c r="R5" s="134"/>
      <c r="S5" s="135">
        <f t="shared" si="5"/>
        <v>5</v>
      </c>
      <c r="T5" s="132">
        <f t="shared" si="6"/>
        <v>11</v>
      </c>
      <c r="U5" s="135">
        <f t="shared" si="7"/>
        <v>10</v>
      </c>
      <c r="V5" s="132">
        <f t="shared" si="8"/>
        <v>1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23.0</v>
      </c>
      <c r="AD5" s="23">
        <v>8.0</v>
      </c>
      <c r="AE5" s="23"/>
      <c r="AF5" s="24">
        <v>2.0</v>
      </c>
      <c r="AG5" s="23">
        <v>17.0</v>
      </c>
      <c r="AH5" s="24">
        <v>6.0</v>
      </c>
      <c r="AI5" s="23">
        <v>11.0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7</v>
      </c>
      <c r="T6" s="132">
        <f t="shared" si="6"/>
        <v>7</v>
      </c>
      <c r="U6" s="135">
        <f t="shared" si="7"/>
        <v>14</v>
      </c>
      <c r="V6" s="132">
        <f t="shared" si="8"/>
        <v>-7</v>
      </c>
      <c r="AA6" s="22" t="s">
        <v>42</v>
      </c>
      <c r="AB6" s="69" t="s">
        <v>117</v>
      </c>
      <c r="AC6" s="23">
        <v>20.0</v>
      </c>
      <c r="AD6" s="23">
        <v>8.0</v>
      </c>
      <c r="AE6" s="23"/>
      <c r="AF6" s="24">
        <v>2.0</v>
      </c>
      <c r="AG6" s="23">
        <v>17.0</v>
      </c>
      <c r="AH6" s="24">
        <v>9.0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28</v>
      </c>
      <c r="Q7" s="134">
        <f t="shared" si="4"/>
        <v>9</v>
      </c>
      <c r="R7" s="134"/>
      <c r="S7" s="135">
        <f t="shared" si="5"/>
        <v>1</v>
      </c>
      <c r="T7" s="132">
        <f t="shared" si="6"/>
        <v>19</v>
      </c>
      <c r="U7" s="135">
        <f t="shared" si="7"/>
        <v>2</v>
      </c>
      <c r="V7" s="132">
        <f t="shared" si="8"/>
        <v>17</v>
      </c>
      <c r="AA7" s="22" t="s">
        <v>44</v>
      </c>
      <c r="AB7" s="69" t="s">
        <v>25</v>
      </c>
      <c r="AC7" s="23">
        <v>19.0</v>
      </c>
      <c r="AD7" s="23">
        <v>7.0</v>
      </c>
      <c r="AE7" s="23"/>
      <c r="AF7" s="24">
        <v>3.0</v>
      </c>
      <c r="AG7" s="23">
        <v>15.0</v>
      </c>
      <c r="AH7" s="24">
        <v>9.0</v>
      </c>
      <c r="AI7" s="23">
        <v>6.0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3</v>
      </c>
      <c r="T8" s="132">
        <f t="shared" si="6"/>
        <v>15</v>
      </c>
      <c r="U8" s="135">
        <f t="shared" si="7"/>
        <v>9</v>
      </c>
      <c r="V8" s="132">
        <f t="shared" si="8"/>
        <v>6</v>
      </c>
      <c r="AA8" s="22" t="s">
        <v>47</v>
      </c>
      <c r="AB8" s="69" t="s">
        <v>101</v>
      </c>
      <c r="AC8" s="23">
        <v>16.0</v>
      </c>
      <c r="AD8" s="23">
        <v>5.0</v>
      </c>
      <c r="AE8" s="23"/>
      <c r="AF8" s="24">
        <v>5.0</v>
      </c>
      <c r="AG8" s="23">
        <v>11.0</v>
      </c>
      <c r="AH8" s="24">
        <v>10.0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15</v>
      </c>
      <c r="Q9" s="134">
        <f t="shared" si="4"/>
        <v>5</v>
      </c>
      <c r="R9" s="134"/>
      <c r="S9" s="135">
        <f t="shared" si="5"/>
        <v>5</v>
      </c>
      <c r="T9" s="132">
        <f t="shared" si="6"/>
        <v>11</v>
      </c>
      <c r="U9" s="135">
        <f t="shared" si="7"/>
        <v>11</v>
      </c>
      <c r="V9" s="132">
        <f t="shared" si="8"/>
        <v>0</v>
      </c>
      <c r="AA9" s="22">
        <v>7.0</v>
      </c>
      <c r="AB9" s="69" t="s">
        <v>66</v>
      </c>
      <c r="AC9" s="23">
        <v>15.0</v>
      </c>
      <c r="AD9" s="23">
        <v>5.0</v>
      </c>
      <c r="AE9" s="23"/>
      <c r="AF9" s="24">
        <v>5.0</v>
      </c>
      <c r="AG9" s="23">
        <v>11.0</v>
      </c>
      <c r="AH9" s="24">
        <v>11.0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27</v>
      </c>
      <c r="Q10" s="134">
        <f t="shared" si="4"/>
        <v>9</v>
      </c>
      <c r="R10" s="134"/>
      <c r="S10" s="135">
        <f t="shared" si="5"/>
        <v>1</v>
      </c>
      <c r="T10" s="132">
        <f t="shared" si="6"/>
        <v>19</v>
      </c>
      <c r="U10" s="135">
        <f t="shared" si="7"/>
        <v>3</v>
      </c>
      <c r="V10" s="132">
        <f t="shared" si="8"/>
        <v>16</v>
      </c>
      <c r="AA10" s="22">
        <v>8.0</v>
      </c>
      <c r="AB10" s="69" t="s">
        <v>67</v>
      </c>
      <c r="AC10" s="23">
        <v>12.0</v>
      </c>
      <c r="AD10" s="23">
        <v>4.0</v>
      </c>
      <c r="AE10" s="23"/>
      <c r="AF10" s="24">
        <v>6.0</v>
      </c>
      <c r="AG10" s="23">
        <v>9.0</v>
      </c>
      <c r="AH10" s="24">
        <v>13.0</v>
      </c>
      <c r="AI10" s="23">
        <v>-4.0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8</v>
      </c>
      <c r="Q11" s="134">
        <f t="shared" si="4"/>
        <v>2</v>
      </c>
      <c r="R11" s="134"/>
      <c r="S11" s="135">
        <f t="shared" si="5"/>
        <v>8</v>
      </c>
      <c r="T11" s="132">
        <f t="shared" si="6"/>
        <v>7</v>
      </c>
      <c r="U11" s="135">
        <f t="shared" si="7"/>
        <v>17</v>
      </c>
      <c r="V11" s="132">
        <f t="shared" si="8"/>
        <v>-10</v>
      </c>
      <c r="AA11" s="110" t="s">
        <v>104</v>
      </c>
      <c r="AB11" s="69" t="s">
        <v>119</v>
      </c>
      <c r="AC11" s="23">
        <v>10.0</v>
      </c>
      <c r="AD11" s="23">
        <v>3.0</v>
      </c>
      <c r="AE11" s="23"/>
      <c r="AF11" s="24">
        <v>7.0</v>
      </c>
      <c r="AG11" s="23">
        <v>7.0</v>
      </c>
      <c r="AH11" s="24">
        <v>14.0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6</v>
      </c>
      <c r="T12" s="132">
        <f t="shared" si="6"/>
        <v>9</v>
      </c>
      <c r="U12" s="135">
        <f t="shared" si="7"/>
        <v>13</v>
      </c>
      <c r="V12" s="132">
        <f t="shared" si="8"/>
        <v>-4</v>
      </c>
      <c r="AA12" s="75">
        <v>10.0</v>
      </c>
      <c r="AB12" s="69" t="s">
        <v>40</v>
      </c>
      <c r="AC12" s="23">
        <v>8.0</v>
      </c>
      <c r="AD12" s="23">
        <v>2.0</v>
      </c>
      <c r="AE12" s="23"/>
      <c r="AF12" s="24">
        <v>8.0</v>
      </c>
      <c r="AG12" s="23">
        <v>7.0</v>
      </c>
      <c r="AH12" s="24">
        <v>17.0</v>
      </c>
      <c r="AI12" s="23">
        <v>-10.0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115</v>
      </c>
      <c r="AC13" s="23">
        <v>1.0</v>
      </c>
      <c r="AD13" s="23">
        <v>0.0</v>
      </c>
      <c r="AE13" s="23"/>
      <c r="AF13" s="24">
        <v>10.0</v>
      </c>
      <c r="AG13" s="23">
        <v>1.0</v>
      </c>
      <c r="AH13" s="24">
        <v>20.0</v>
      </c>
      <c r="AI13" s="23">
        <v>-19.0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20</v>
      </c>
      <c r="Q14" s="134">
        <f t="shared" si="4"/>
        <v>8</v>
      </c>
      <c r="S14" s="135">
        <f t="shared" si="5"/>
        <v>2</v>
      </c>
      <c r="T14" s="132">
        <f t="shared" si="6"/>
        <v>17</v>
      </c>
      <c r="U14" s="135">
        <f t="shared" si="7"/>
        <v>9</v>
      </c>
      <c r="V14" s="132">
        <f t="shared" si="8"/>
        <v>8</v>
      </c>
      <c r="AA14" s="75">
        <v>12.0</v>
      </c>
      <c r="AB14" s="28" t="s">
        <v>114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2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2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2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2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2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2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5"/>
      <c r="C80" s="146"/>
      <c r="D80" s="141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5"/>
      <c r="C92" s="141"/>
      <c r="D92" s="141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2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2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2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2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5"/>
      <c r="C104" s="146"/>
      <c r="D104" s="141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5"/>
      <c r="C116" s="146"/>
      <c r="D116" s="141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5"/>
      <c r="C139" s="141"/>
      <c r="D139" s="141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5"/>
      <c r="C152" s="146"/>
      <c r="D152" s="141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5"/>
      <c r="C164" s="141"/>
      <c r="D164" s="141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2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2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118</v>
      </c>
      <c r="F173" s="142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2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5"/>
      <c r="C176" s="146"/>
      <c r="D176" s="141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5"/>
      <c r="C211" s="141"/>
      <c r="D211" s="141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