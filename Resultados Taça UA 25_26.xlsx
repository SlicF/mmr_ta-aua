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<sst xmlns="http://schemas.openxmlformats.org/spreadsheetml/2006/main" count="5861" uniqueCount="266">
  <si>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</si>
  <si>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</si>
  <si>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</si>
  <si>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</si>
  <si>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</si>
  <si>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</si>
  <si>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</si>
  <si>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</si>
  <si>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</si>
  <si>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</si>
  <si>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</si>
  <si>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</si>
  <si>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</si>
  <si>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</si>
  <si>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</si>
  <si>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</si>
  <si>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</si>
  <si>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</si>
  <si>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</si>
  <si>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</si>
  <si>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</si>
  <si>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</si>
  <si>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</si>
  <si>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</si>
  <si>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</si>
  <si>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</si>
  <si>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</si>
  <si>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</si>
  <si>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</si>
  <si>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</si>
  <si>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</si>
  <si>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</si>
  <si>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</si>
  <si>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</si>
  <si>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</si>
  <si>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Gestão Comercial</t>
  </si>
  <si>
    <t>23h15</t>
  </si>
  <si>
    <t>EET</t>
  </si>
  <si>
    <t>Biotecnologia</t>
  </si>
  <si>
    <t>3*</t>
  </si>
  <si>
    <t>ECT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</si>
  <si>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</si>
  <si>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</si>
  <si>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</si>
  <si>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</si>
  <si>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</si>
  <si>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</si>
  <si>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</si>
  <si>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</si>
  <si>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</si>
  <si>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</si>
  <si>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</si>
  <si>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</si>
  <si>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</si>
  <si>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</si>
  <si>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</si>
  <si>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</si>
  <si>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</si>
  <si>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</si>
  <si>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</si>
  <si>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</si>
  <si>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</si>
  <si>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</si>
  <si>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</si>
  <si>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</si>
  <si>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</si>
  <si>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</si>
  <si>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</si>
  <si>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</si>
  <si>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</si>
  <si>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</si>
  <si>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</si>
  <si>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</si>
  <si>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</si>
  <si>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</si>
  <si>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</si>
  <si>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</si>
  <si>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</si>
  <si>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</si>
  <si>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</si>
  <si>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</si>
  <si>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</si>
  <si>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</si>
  <si>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</si>
  <si>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</si>
  <si>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</si>
  <si>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</si>
  <si>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</si>
  <si>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</si>
  <si>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</si>
  <si>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</si>
  <si>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</si>
  <si>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</si>
  <si>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</si>
  <si>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</si>
  <si>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</si>
  <si>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</si>
  <si>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</si>
  <si>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</si>
  <si>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</si>
  <si>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</si>
  <si>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</si>
  <si>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</si>
  <si>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</si>
  <si>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</si>
  <si>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</si>
  <si>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</si>
  <si>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</si>
  <si>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</si>
  <si>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</si>
  <si>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</si>
  <si>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</si>
  <si>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</si>
  <si>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</si>
  <si>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</si>
  <si>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</si>
  <si>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</si>
  <si>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</si>
  <si>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</si>
  <si>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</si>
  <si>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</si>
  <si>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</si>
  <si>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</si>
  <si>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</si>
  <si>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</si>
  <si>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</si>
  <si>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</si>
  <si>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</si>
  <si>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</si>
  <si>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</si>
  <si>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</si>
  <si>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</si>
  <si>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</si>
  <si>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</si>
  <si>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</si>
  <si>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</si>
  <si>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</si>
  <si>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</si>
  <si>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</si>
  <si>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</si>
  <si>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</si>
  <si>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</si>
  <si>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</si>
  <si>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</si>
  <si>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</si>
  <si>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</si>
  <si>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</si>
  <si>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</si>
  <si>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</si>
  <si>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</si>
  <si>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</si>
  <si>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</si>
  <si>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</si>
  <si>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</si>
  <si>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</si>
  <si>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</si>
  <si>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</si>
  <si>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</si>
  <si>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</si>
  <si>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</si>
  <si>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</si>
  <si>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</si>
  <si>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</si>
  <si>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</si>
  <si>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</si>
  <si>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</si>
  <si>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</si>
  <si>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</si>
  <si>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</si>
  <si>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</si>
  <si>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</si>
  <si>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</si>
  <si>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</si>
  <si>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</si>
  <si>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</si>
  <si>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</si>
  <si>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</si>
  <si>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</si>
  <si>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</si>
  <si>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</si>
  <si>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</si>
  <si>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</si>
  <si>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</si>
  <si>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</si>
  <si>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</si>
  <si>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</si>
  <si>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</si>
  <si>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</si>
  <si>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</si>
  <si>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</si>
  <si>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</si>
  <si>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</si>
  <si>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</si>
  <si>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</si>
  <si>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</si>
  <si>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</si>
  <si>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</si>
  <si>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</si>
  <si>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</si>
  <si>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</si>
  <si>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</si>
  <si>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</si>
  <si>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</si>
  <si>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19h15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</si>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</sst>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4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4</v>
      </c>
      <c r="T3" s="17">
        <f t="shared" ref="T3:T13" si="7">SUMIF(E$3:E$68,O3,F$3:F$68)+SUMIF(I$3:I$68,O3,H$3:H$68)</f>
        <v>51</v>
      </c>
      <c r="U3" s="19">
        <f t="shared" ref="U3:U13" si="8">SUMIF(E$3:E$68,O3,H$3:H$68)+SUMIF(I$3:I$68,O3,F$3:F$68)</f>
        <v>122</v>
      </c>
      <c r="V3" s="17">
        <f t="shared" ref="V3:V13" si="9">T3-U3</f>
        <v>-71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Marketing</v>
      </c>
      <c r="AG3" s="22">
        <v>10.0</v>
      </c>
      <c r="AH3" s="22">
        <v>3.0</v>
      </c>
      <c r="AI3" s="23">
        <v>0.0</v>
      </c>
      <c r="AJ3" s="22">
        <v>1.0</v>
      </c>
      <c r="AK3" s="22">
        <v>106.0</v>
      </c>
      <c r="AL3" s="23">
        <v>96.0</v>
      </c>
      <c r="AM3" s="22">
        <v>10.0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9.0</v>
      </c>
      <c r="AH4" s="22">
        <v>3.0</v>
      </c>
      <c r="AI4" s="23">
        <v>0.0</v>
      </c>
      <c r="AJ4" s="22">
        <v>0.0</v>
      </c>
      <c r="AK4" s="22">
        <v>71.0</v>
      </c>
      <c r="AL4" s="23">
        <v>40.0</v>
      </c>
      <c r="AM4" s="22">
        <v>31.0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5</v>
      </c>
      <c r="Q5" s="17">
        <f t="shared" si="4"/>
        <v>1</v>
      </c>
      <c r="R5" s="19">
        <f t="shared" si="5"/>
        <v>0</v>
      </c>
      <c r="S5" s="19">
        <f t="shared" si="6"/>
        <v>2</v>
      </c>
      <c r="T5" s="17">
        <f t="shared" si="7"/>
        <v>67</v>
      </c>
      <c r="U5" s="19">
        <f t="shared" si="8"/>
        <v>65</v>
      </c>
      <c r="V5" s="17">
        <f t="shared" si="9"/>
        <v>2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9.0</v>
      </c>
      <c r="AH5" s="22">
        <v>2.0</v>
      </c>
      <c r="AI5" s="23">
        <v>1.0</v>
      </c>
      <c r="AJ5" s="22">
        <v>1.0</v>
      </c>
      <c r="AK5" s="22">
        <v>78.0</v>
      </c>
      <c r="AL5" s="23">
        <v>78.0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35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41</v>
      </c>
      <c r="AF6" s="22" t="s">
        <v>33</v>
      </c>
      <c r="AG6" s="22">
        <v>8.0</v>
      </c>
      <c r="AH6" s="22">
        <v>2.0</v>
      </c>
      <c r="AI6" s="23">
        <v>1.0</v>
      </c>
      <c r="AJ6" s="22">
        <v>0.0</v>
      </c>
      <c r="AK6" s="22">
        <v>65.0</v>
      </c>
      <c r="AL6" s="23">
        <v>46.0</v>
      </c>
      <c r="AM6" s="22">
        <v>19.0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42</v>
      </c>
      <c r="F7" s="15">
        <v>17.0</v>
      </c>
      <c r="G7" s="16" t="s">
        <v>24</v>
      </c>
      <c r="H7" s="15">
        <v>26.0</v>
      </c>
      <c r="I7" s="14" t="s">
        <v>43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9</v>
      </c>
      <c r="Q7" s="17">
        <f t="shared" si="4"/>
        <v>2</v>
      </c>
      <c r="R7" s="19">
        <f t="shared" si="5"/>
        <v>1</v>
      </c>
      <c r="S7" s="19">
        <f t="shared" si="6"/>
        <v>1</v>
      </c>
      <c r="T7" s="17">
        <f t="shared" si="7"/>
        <v>78</v>
      </c>
      <c r="U7" s="19">
        <f t="shared" si="8"/>
        <v>78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42</v>
      </c>
      <c r="AG7" s="22">
        <v>7.0</v>
      </c>
      <c r="AH7" s="22">
        <v>2.0</v>
      </c>
      <c r="AI7" s="23">
        <v>0.0</v>
      </c>
      <c r="AJ7" s="22">
        <v>1.0</v>
      </c>
      <c r="AK7" s="22">
        <v>61.0</v>
      </c>
      <c r="AL7" s="23">
        <v>64.0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6.0</v>
      </c>
      <c r="AH8" s="22">
        <v>2.0</v>
      </c>
      <c r="AI8" s="23">
        <v>0.0</v>
      </c>
      <c r="AJ8" s="22">
        <v>0.0</v>
      </c>
      <c r="AK8" s="22">
        <v>61.0</v>
      </c>
      <c r="AL8" s="23">
        <v>33.0</v>
      </c>
      <c r="AM8" s="22">
        <v>28.0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35</v>
      </c>
      <c r="P10" s="17">
        <f t="shared" si="3"/>
        <v>9</v>
      </c>
      <c r="Q10" s="17">
        <f t="shared" si="4"/>
        <v>3</v>
      </c>
      <c r="R10" s="19">
        <f t="shared" si="5"/>
        <v>0</v>
      </c>
      <c r="S10" s="19">
        <f t="shared" si="6"/>
        <v>0</v>
      </c>
      <c r="T10" s="17">
        <f t="shared" si="7"/>
        <v>71</v>
      </c>
      <c r="U10" s="19">
        <f t="shared" si="8"/>
        <v>40</v>
      </c>
      <c r="V10" s="17">
        <f t="shared" si="9"/>
        <v>31</v>
      </c>
      <c r="W10" s="2"/>
      <c r="X10" s="26" t="s">
        <v>42</v>
      </c>
      <c r="Y10" s="26">
        <v>5.0</v>
      </c>
      <c r="AC10" s="2"/>
      <c r="AD10" s="2"/>
      <c r="AE10" s="21">
        <v>8.0</v>
      </c>
      <c r="AF10" s="22" t="s">
        <v>32</v>
      </c>
      <c r="AG10" s="22">
        <v>5.0</v>
      </c>
      <c r="AH10" s="22">
        <v>1.0</v>
      </c>
      <c r="AI10" s="23">
        <v>0.0</v>
      </c>
      <c r="AJ10" s="22">
        <v>2.0</v>
      </c>
      <c r="AK10" s="22">
        <v>68.0</v>
      </c>
      <c r="AL10" s="23">
        <v>65.0</v>
      </c>
      <c r="AM10" s="22">
        <v>3.0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42</v>
      </c>
      <c r="P11" s="17">
        <f t="shared" si="3"/>
        <v>7</v>
      </c>
      <c r="Q11" s="17">
        <f t="shared" si="4"/>
        <v>2</v>
      </c>
      <c r="R11" s="19">
        <f t="shared" si="5"/>
        <v>0</v>
      </c>
      <c r="S11" s="19">
        <f t="shared" si="6"/>
        <v>1</v>
      </c>
      <c r="T11" s="17">
        <f t="shared" si="7"/>
        <v>61</v>
      </c>
      <c r="U11" s="19">
        <f t="shared" si="8"/>
        <v>64</v>
      </c>
      <c r="V11" s="17">
        <f t="shared" si="9"/>
        <v>-3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31</v>
      </c>
      <c r="AG11" s="22">
        <v>5.0</v>
      </c>
      <c r="AH11" s="22">
        <v>1.0</v>
      </c>
      <c r="AI11" s="23">
        <v>0.0</v>
      </c>
      <c r="AJ11" s="22">
        <v>2.0</v>
      </c>
      <c r="AK11" s="22">
        <v>67.0</v>
      </c>
      <c r="AL11" s="23">
        <v>65.0</v>
      </c>
      <c r="AM11" s="22">
        <v>2.0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35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43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4.0</v>
      </c>
      <c r="AH12" s="22">
        <v>0.0</v>
      </c>
      <c r="AI12" s="23">
        <v>0.0</v>
      </c>
      <c r="AJ12" s="22">
        <v>4.0</v>
      </c>
      <c r="AK12" s="22">
        <v>51.0</v>
      </c>
      <c r="AL12" s="23">
        <v>122.0</v>
      </c>
      <c r="AM12" s="22">
        <v>-71.0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43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3</v>
      </c>
      <c r="Q13" s="17">
        <f t="shared" si="4"/>
        <v>0</v>
      </c>
      <c r="R13" s="19">
        <f t="shared" si="5"/>
        <v>0</v>
      </c>
      <c r="S13" s="19">
        <f t="shared" si="6"/>
        <v>3</v>
      </c>
      <c r="T13" s="17">
        <f t="shared" si="7"/>
        <v>58</v>
      </c>
      <c r="U13" s="19">
        <f t="shared" si="8"/>
        <v>74</v>
      </c>
      <c r="V13" s="17">
        <f t="shared" si="9"/>
        <v>-16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3.0</v>
      </c>
      <c r="AH13" s="22">
        <v>0.0</v>
      </c>
      <c r="AI13" s="23">
        <v>0.0</v>
      </c>
      <c r="AJ13" s="22">
        <v>3.0</v>
      </c>
      <c r="AK13" s="22">
        <v>58.0</v>
      </c>
      <c r="AL13" s="23">
        <v>74.0</v>
      </c>
      <c r="AM13" s="22">
        <v>-16.0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42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6"/>
      <c r="G17" s="16" t="s">
        <v>24</v>
      </c>
      <c r="H17" s="16"/>
      <c r="I17" s="14" t="s">
        <v>35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43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35</v>
      </c>
      <c r="F23" s="15">
        <v>24.0</v>
      </c>
      <c r="G23" s="16" t="s">
        <v>24</v>
      </c>
      <c r="H23" s="15">
        <v>10.0</v>
      </c>
      <c r="I23" s="14" t="s">
        <v>23</v>
      </c>
      <c r="J23" s="4"/>
      <c r="K23" s="4">
        <f t="shared" si="1"/>
        <v>3</v>
      </c>
      <c r="L23" s="17">
        <f t="shared" si="2"/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43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42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35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42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35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43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42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35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35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43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42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35</v>
      </c>
      <c r="F51" s="16"/>
      <c r="G51" s="16" t="s">
        <v>24</v>
      </c>
      <c r="H51" s="16"/>
      <c r="I51" s="14" t="s">
        <v>43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42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43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35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42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43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35</v>
      </c>
      <c r="F64" s="16"/>
      <c r="G64" s="16" t="s">
        <v>24</v>
      </c>
      <c r="H64" s="16"/>
      <c r="I64" s="14" t="s">
        <v>42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4</v>
      </c>
      <c r="Q3" s="17">
        <f t="shared" ref="Q3:Q14" si="4">COUNTIFS(E$3:E$68,O3,K$3:K$68,2)+COUNTIFS(I$3:I$68,O3,L$3:L$68,2)</f>
        <v>2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1</v>
      </c>
      <c r="T3" s="17">
        <f t="shared" ref="T3:T14" si="7">SUMIF(E$3:E$68,O3,F$3:F$68)+SUMIF(I$3:I$68,O3,H$3:H$68)</f>
        <v>29</v>
      </c>
      <c r="U3" s="19">
        <f t="shared" ref="U3:U14" si="8">SUMIF(E$3:E$68,O3,H$3:H$68)+SUMIF(I$3:I$68,O3,F$3:F$68)</f>
        <v>23</v>
      </c>
      <c r="V3" s="17">
        <f t="shared" ref="V3:V14" si="9">T3-U3</f>
        <v>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8.0</v>
      </c>
      <c r="AG3" s="22">
        <v>4.0</v>
      </c>
      <c r="AH3" s="22">
        <v>0.0</v>
      </c>
      <c r="AI3" s="23">
        <v>0.0</v>
      </c>
      <c r="AJ3" s="22">
        <v>34.0</v>
      </c>
      <c r="AK3" s="23">
        <v>25.0</v>
      </c>
      <c r="AL3" s="22">
        <v>9.0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42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2</v>
      </c>
      <c r="Q4" s="17">
        <f t="shared" si="4"/>
        <v>1</v>
      </c>
      <c r="R4" s="17">
        <f t="shared" si="5"/>
        <v>0</v>
      </c>
      <c r="S4" s="19">
        <f t="shared" si="6"/>
        <v>3</v>
      </c>
      <c r="T4" s="17">
        <f t="shared" si="7"/>
        <v>30</v>
      </c>
      <c r="U4" s="19">
        <f t="shared" si="8"/>
        <v>40</v>
      </c>
      <c r="V4" s="17">
        <f t="shared" si="9"/>
        <v>-10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32</v>
      </c>
      <c r="AF4" s="22">
        <v>6.0</v>
      </c>
      <c r="AG4" s="22">
        <v>3.0</v>
      </c>
      <c r="AH4" s="22">
        <v>0.0</v>
      </c>
      <c r="AI4" s="23">
        <v>0.0</v>
      </c>
      <c r="AJ4" s="22">
        <v>39.0</v>
      </c>
      <c r="AK4" s="23">
        <v>31.0</v>
      </c>
      <c r="AL4" s="22">
        <v>8.0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2</v>
      </c>
      <c r="Q5" s="17">
        <f t="shared" si="4"/>
        <v>1</v>
      </c>
      <c r="R5" s="17">
        <f t="shared" si="5"/>
        <v>0</v>
      </c>
      <c r="S5" s="19">
        <f t="shared" si="6"/>
        <v>2</v>
      </c>
      <c r="T5" s="17">
        <f t="shared" si="7"/>
        <v>27</v>
      </c>
      <c r="U5" s="19">
        <f t="shared" si="8"/>
        <v>23</v>
      </c>
      <c r="V5" s="17">
        <f t="shared" si="9"/>
        <v>4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6.0</v>
      </c>
      <c r="AG5" s="22">
        <v>3.0</v>
      </c>
      <c r="AH5" s="22">
        <v>0.0</v>
      </c>
      <c r="AI5" s="23">
        <v>1.0</v>
      </c>
      <c r="AJ5" s="22">
        <v>45.0</v>
      </c>
      <c r="AK5" s="23">
        <v>39.0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2</v>
      </c>
      <c r="T6" s="17">
        <f t="shared" si="7"/>
        <v>30</v>
      </c>
      <c r="U6" s="19">
        <f t="shared" si="8"/>
        <v>34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41</v>
      </c>
      <c r="AE6" s="63" t="s">
        <v>40</v>
      </c>
      <c r="AF6" s="22">
        <v>4.0</v>
      </c>
      <c r="AG6" s="22">
        <v>2.0</v>
      </c>
      <c r="AH6" s="22">
        <v>0.0</v>
      </c>
      <c r="AI6" s="23">
        <v>1.0</v>
      </c>
      <c r="AJ6" s="22">
        <v>29.0</v>
      </c>
      <c r="AK6" s="23">
        <v>23.0</v>
      </c>
      <c r="AL6" s="22">
        <v>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42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34</v>
      </c>
      <c r="V7" s="17">
        <f t="shared" si="9"/>
        <v>-14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57</v>
      </c>
      <c r="AF7" s="22">
        <v>4.0</v>
      </c>
      <c r="AG7" s="22">
        <v>2.0</v>
      </c>
      <c r="AH7" s="22">
        <v>0.0</v>
      </c>
      <c r="AI7" s="23">
        <v>2.0</v>
      </c>
      <c r="AJ7" s="22">
        <v>30.0</v>
      </c>
      <c r="AK7" s="23">
        <v>34.0</v>
      </c>
      <c r="AL7" s="22">
        <v>-4.0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35</v>
      </c>
      <c r="U8" s="19">
        <f t="shared" si="8"/>
        <v>32</v>
      </c>
      <c r="V8" s="17">
        <f t="shared" si="9"/>
        <v>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62</v>
      </c>
      <c r="AF8" s="22">
        <v>4.0</v>
      </c>
      <c r="AG8" s="22">
        <v>2.0</v>
      </c>
      <c r="AH8" s="22">
        <v>0.0</v>
      </c>
      <c r="AI8" s="23">
        <v>2.0</v>
      </c>
      <c r="AJ8" s="22">
        <v>30.0</v>
      </c>
      <c r="AK8" s="23">
        <v>34.0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6</v>
      </c>
      <c r="Q9" s="17">
        <f t="shared" si="4"/>
        <v>3</v>
      </c>
      <c r="R9" s="17">
        <f t="shared" si="5"/>
        <v>0</v>
      </c>
      <c r="S9" s="19">
        <f t="shared" si="6"/>
        <v>1</v>
      </c>
      <c r="T9" s="17">
        <f t="shared" si="7"/>
        <v>45</v>
      </c>
      <c r="U9" s="19">
        <f t="shared" si="8"/>
        <v>39</v>
      </c>
      <c r="V9" s="17">
        <f t="shared" si="9"/>
        <v>6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37</v>
      </c>
      <c r="AF9" s="22">
        <v>4.0</v>
      </c>
      <c r="AG9" s="22">
        <v>2.0</v>
      </c>
      <c r="AH9" s="22">
        <v>0.0</v>
      </c>
      <c r="AI9" s="23">
        <v>2.0</v>
      </c>
      <c r="AJ9" s="22">
        <v>34.0</v>
      </c>
      <c r="AK9" s="23">
        <v>38.0</v>
      </c>
      <c r="AL9" s="22">
        <v>-4.0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42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38</v>
      </c>
      <c r="U10" s="19">
        <f t="shared" si="8"/>
        <v>38</v>
      </c>
      <c r="V10" s="17">
        <f t="shared" si="9"/>
        <v>0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2.0</v>
      </c>
      <c r="AG10" s="22">
        <v>1.0</v>
      </c>
      <c r="AH10" s="22">
        <v>0.0</v>
      </c>
      <c r="AI10" s="23">
        <v>2.0</v>
      </c>
      <c r="AJ10" s="22">
        <v>27.0</v>
      </c>
      <c r="AK10" s="23">
        <v>23.0</v>
      </c>
      <c r="AL10" s="22">
        <v>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2</v>
      </c>
      <c r="T11" s="17">
        <f t="shared" si="7"/>
        <v>30</v>
      </c>
      <c r="U11" s="19">
        <f t="shared" si="8"/>
        <v>34</v>
      </c>
      <c r="V11" s="17">
        <f t="shared" si="9"/>
        <v>-4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2.0</v>
      </c>
      <c r="AG11" s="44">
        <v>1.0</v>
      </c>
      <c r="AH11" s="44">
        <v>0.0</v>
      </c>
      <c r="AI11" s="45">
        <v>3.0</v>
      </c>
      <c r="AJ11" s="44">
        <v>35.0</v>
      </c>
      <c r="AK11" s="45">
        <v>32.0</v>
      </c>
      <c r="AL11" s="44">
        <v>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39</v>
      </c>
      <c r="U12" s="19">
        <f t="shared" si="8"/>
        <v>31</v>
      </c>
      <c r="V12" s="17">
        <f t="shared" si="9"/>
        <v>8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60</v>
      </c>
      <c r="AF12" s="22">
        <v>2.0</v>
      </c>
      <c r="AG12" s="22">
        <v>1.0</v>
      </c>
      <c r="AH12" s="22">
        <v>0.0</v>
      </c>
      <c r="AI12" s="23">
        <v>3.0</v>
      </c>
      <c r="AJ12" s="22">
        <v>38.0</v>
      </c>
      <c r="AK12" s="23">
        <v>38.0</v>
      </c>
      <c r="AL12" s="22">
        <v>0.0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4</v>
      </c>
      <c r="Q13" s="17">
        <f t="shared" si="4"/>
        <v>2</v>
      </c>
      <c r="R13" s="17">
        <f t="shared" si="5"/>
        <v>0</v>
      </c>
      <c r="S13" s="19">
        <f t="shared" si="6"/>
        <v>2</v>
      </c>
      <c r="T13" s="17">
        <f t="shared" si="7"/>
        <v>34</v>
      </c>
      <c r="U13" s="19">
        <f t="shared" si="8"/>
        <v>38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38</v>
      </c>
      <c r="AF13" s="22">
        <v>2.0</v>
      </c>
      <c r="AG13" s="22">
        <v>1.0</v>
      </c>
      <c r="AH13" s="22">
        <v>0.0</v>
      </c>
      <c r="AI13" s="22">
        <v>3.0</v>
      </c>
      <c r="AJ13" s="22">
        <v>30.0</v>
      </c>
      <c r="AK13" s="22">
        <v>40.0</v>
      </c>
      <c r="AL13" s="22">
        <v>-10.0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8</v>
      </c>
      <c r="Q14" s="17">
        <f t="shared" si="4"/>
        <v>4</v>
      </c>
      <c r="R14" s="17">
        <f t="shared" si="5"/>
        <v>0</v>
      </c>
      <c r="S14" s="19">
        <f t="shared" si="6"/>
        <v>0</v>
      </c>
      <c r="T14" s="17">
        <f t="shared" si="7"/>
        <v>34</v>
      </c>
      <c r="U14" s="19">
        <f t="shared" si="8"/>
        <v>25</v>
      </c>
      <c r="V14" s="17">
        <f t="shared" si="9"/>
        <v>9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42</v>
      </c>
      <c r="AF14" s="22">
        <v>0.0</v>
      </c>
      <c r="AG14" s="22">
        <v>0.0</v>
      </c>
      <c r="AH14" s="22">
        <v>0.0</v>
      </c>
      <c r="AI14" s="22">
        <v>3.0</v>
      </c>
      <c r="AJ14" s="22">
        <v>20.0</v>
      </c>
      <c r="AK14" s="22">
        <v>34.0</v>
      </c>
      <c r="AL14" s="22">
        <v>-14.0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42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40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42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42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60"/>
      <c r="G32" s="60" t="s">
        <v>24</v>
      </c>
      <c r="H32" s="60"/>
      <c r="I32" s="40" t="s">
        <v>96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60"/>
      <c r="G34" s="60" t="s">
        <v>24</v>
      </c>
      <c r="H34" s="60"/>
      <c r="I34" s="40" t="s">
        <v>42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96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42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96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96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42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42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4</v>
      </c>
      <c r="Q74" s="17">
        <f t="shared" ref="Q74:Q82" si="14">COUNTIFS(E$74:E$118,O74,K$74:K$118,2)+COUNTIFS(I$74:I$118,O74,L$74:L$118,2)</f>
        <v>2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22</v>
      </c>
      <c r="U74" s="19">
        <f t="shared" ref="U74:U82" si="18">SUMIF(E$74:E$118,O74,H$74:H$118)+SUMIF(I$74:I$118,O74,F$74:F$118)</f>
        <v>6</v>
      </c>
      <c r="V74" s="17">
        <f t="shared" ref="V74:V82" si="19">T74-U74</f>
        <v>16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1.0</v>
      </c>
      <c r="AJ74" s="22">
        <v>32.0</v>
      </c>
      <c r="AK74" s="23">
        <v>14.0</v>
      </c>
      <c r="AL74" s="22">
        <v>18.0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2</v>
      </c>
      <c r="Q75" s="17">
        <f t="shared" si="14"/>
        <v>1</v>
      </c>
      <c r="R75" s="19">
        <f t="shared" si="15"/>
        <v>0</v>
      </c>
      <c r="S75" s="19">
        <f t="shared" si="16"/>
        <v>0</v>
      </c>
      <c r="T75" s="17">
        <f t="shared" si="17"/>
        <v>21</v>
      </c>
      <c r="U75" s="19">
        <f t="shared" si="18"/>
        <v>2</v>
      </c>
      <c r="V75" s="17">
        <f t="shared" si="19"/>
        <v>19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4.0</v>
      </c>
      <c r="AG75" s="22">
        <v>2.0</v>
      </c>
      <c r="AH75" s="23">
        <v>0.0</v>
      </c>
      <c r="AI75" s="23">
        <v>0.0</v>
      </c>
      <c r="AJ75" s="22">
        <v>22.0</v>
      </c>
      <c r="AK75" s="23">
        <v>6.0</v>
      </c>
      <c r="AL75" s="22">
        <v>16.0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3</v>
      </c>
      <c r="T76" s="17">
        <f t="shared" si="17"/>
        <v>4</v>
      </c>
      <c r="U76" s="19">
        <f t="shared" si="18"/>
        <v>37</v>
      </c>
      <c r="V76" s="17">
        <f t="shared" si="19"/>
        <v>-33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116</v>
      </c>
      <c r="AF76" s="22">
        <v>4.0</v>
      </c>
      <c r="AG76" s="22">
        <v>2.0</v>
      </c>
      <c r="AH76" s="23">
        <v>0.0</v>
      </c>
      <c r="AI76" s="23">
        <v>0.0</v>
      </c>
      <c r="AJ76" s="22">
        <v>24.0</v>
      </c>
      <c r="AK76" s="23">
        <v>21.0</v>
      </c>
      <c r="AL76" s="22">
        <v>3.0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2</v>
      </c>
      <c r="T77" s="17">
        <f t="shared" si="17"/>
        <v>9</v>
      </c>
      <c r="U77" s="19">
        <f t="shared" si="18"/>
        <v>31</v>
      </c>
      <c r="V77" s="17">
        <f t="shared" si="19"/>
        <v>-22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31</v>
      </c>
      <c r="AF77" s="22">
        <v>2.0</v>
      </c>
      <c r="AG77" s="22">
        <v>1.0</v>
      </c>
      <c r="AH77" s="23">
        <v>0.0</v>
      </c>
      <c r="AI77" s="23">
        <v>0.0</v>
      </c>
      <c r="AJ77" s="22">
        <v>21.0</v>
      </c>
      <c r="AK77" s="23">
        <v>2.0</v>
      </c>
      <c r="AL77" s="22">
        <v>19.0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2</v>
      </c>
      <c r="Q78" s="17">
        <f t="shared" si="14"/>
        <v>1</v>
      </c>
      <c r="R78" s="19">
        <f t="shared" si="15"/>
        <v>0</v>
      </c>
      <c r="S78" s="19">
        <f t="shared" si="16"/>
        <v>2</v>
      </c>
      <c r="T78" s="17">
        <f t="shared" si="17"/>
        <v>30</v>
      </c>
      <c r="U78" s="19">
        <f t="shared" si="18"/>
        <v>33</v>
      </c>
      <c r="V78" s="17">
        <f t="shared" si="19"/>
        <v>-3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55</v>
      </c>
      <c r="AF78" s="22">
        <v>2.0</v>
      </c>
      <c r="AG78" s="22">
        <v>1.0</v>
      </c>
      <c r="AH78" s="23">
        <v>0.0</v>
      </c>
      <c r="AI78" s="23">
        <v>1.0</v>
      </c>
      <c r="AJ78" s="22">
        <v>15.0</v>
      </c>
      <c r="AK78" s="23">
        <v>14.0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1</v>
      </c>
      <c r="T79" s="17">
        <f t="shared" si="17"/>
        <v>15</v>
      </c>
      <c r="U79" s="19">
        <f t="shared" si="18"/>
        <v>14</v>
      </c>
      <c r="V79" s="17">
        <f t="shared" si="19"/>
        <v>1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118</v>
      </c>
      <c r="AF79" s="22">
        <v>2.0</v>
      </c>
      <c r="AG79" s="22">
        <v>1.0</v>
      </c>
      <c r="AH79" s="23">
        <v>0.0</v>
      </c>
      <c r="AI79" s="23">
        <v>1.0</v>
      </c>
      <c r="AJ79" s="22">
        <v>16.0</v>
      </c>
      <c r="AK79" s="23">
        <v>15.0</v>
      </c>
      <c r="AL79" s="22">
        <v>1.0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117</v>
      </c>
      <c r="AF80" s="22">
        <v>2.0</v>
      </c>
      <c r="AG80" s="22">
        <v>1.0</v>
      </c>
      <c r="AH80" s="23">
        <v>0.0</v>
      </c>
      <c r="AI80" s="23">
        <v>2.0</v>
      </c>
      <c r="AJ80" s="22">
        <v>30.0</v>
      </c>
      <c r="AK80" s="23">
        <v>33.0</v>
      </c>
      <c r="AL80" s="22">
        <v>-3.0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0</v>
      </c>
      <c r="T81" s="17">
        <f t="shared" si="17"/>
        <v>24</v>
      </c>
      <c r="U81" s="19">
        <f t="shared" si="18"/>
        <v>21</v>
      </c>
      <c r="V81" s="17">
        <f t="shared" si="19"/>
        <v>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2.0</v>
      </c>
      <c r="AJ81" s="22">
        <v>9.0</v>
      </c>
      <c r="AK81" s="23">
        <v>31.0</v>
      </c>
      <c r="AL81" s="22">
        <v>-22.0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1</v>
      </c>
      <c r="T82" s="17">
        <f t="shared" si="17"/>
        <v>32</v>
      </c>
      <c r="U82" s="19">
        <f t="shared" si="18"/>
        <v>14</v>
      </c>
      <c r="V82" s="17">
        <f t="shared" si="19"/>
        <v>18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3.0</v>
      </c>
      <c r="AJ82" s="22">
        <v>4.0</v>
      </c>
      <c r="AK82" s="22">
        <v>37.0</v>
      </c>
      <c r="AL82" s="22">
        <v>-33.0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76"/>
      <c r="G89" s="60" t="s">
        <v>24</v>
      </c>
      <c r="H89" s="76"/>
      <c r="I89" s="79" t="s">
        <v>117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76"/>
      <c r="G90" s="60" t="s">
        <v>24</v>
      </c>
      <c r="H90" s="76"/>
      <c r="I90" s="79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76"/>
      <c r="G91" s="60" t="s">
        <v>24</v>
      </c>
      <c r="H91" s="76"/>
      <c r="I91" s="79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76"/>
      <c r="G93" s="60" t="s">
        <v>24</v>
      </c>
      <c r="H93" s="76"/>
      <c r="I93" s="79" t="s">
        <v>118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76"/>
      <c r="G94" s="60" t="s">
        <v>24</v>
      </c>
      <c r="H94" s="76"/>
      <c r="I94" s="79" t="s">
        <v>111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117</v>
      </c>
      <c r="F95" s="76"/>
      <c r="G95" s="60" t="s">
        <v>24</v>
      </c>
      <c r="H95" s="76"/>
      <c r="I95" s="79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76"/>
      <c r="G96" s="60" t="s">
        <v>24</v>
      </c>
      <c r="H96" s="76"/>
      <c r="I96" s="79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118</v>
      </c>
      <c r="F97" s="76"/>
      <c r="G97" s="60" t="s">
        <v>24</v>
      </c>
      <c r="H97" s="76"/>
      <c r="I97" s="79" t="s">
        <v>114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117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117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15</v>
      </c>
      <c r="U126" s="19">
        <f t="shared" ref="U126:U134" si="27">SUMIF(E$126:E$170,O126,H$126:H$170)+SUMIF(I$126:I$170,O126,F$126:F$170)</f>
        <v>26</v>
      </c>
      <c r="V126" s="17">
        <f t="shared" ref="V126:V134" si="28">T126-U126</f>
        <v>-11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6.0</v>
      </c>
      <c r="AG126" s="22">
        <v>3.0</v>
      </c>
      <c r="AH126" s="23">
        <v>0.0</v>
      </c>
      <c r="AI126" s="23">
        <v>0.0</v>
      </c>
      <c r="AJ126" s="22">
        <v>41.0</v>
      </c>
      <c r="AK126" s="23">
        <v>26.0</v>
      </c>
      <c r="AL126" s="22">
        <v>15.0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1</v>
      </c>
      <c r="T127" s="17">
        <f t="shared" si="26"/>
        <v>18</v>
      </c>
      <c r="U127" s="19">
        <f t="shared" si="27"/>
        <v>11</v>
      </c>
      <c r="V127" s="17">
        <f t="shared" si="28"/>
        <v>7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54</v>
      </c>
      <c r="AF127" s="22">
        <v>4.0</v>
      </c>
      <c r="AG127" s="22">
        <v>2.0</v>
      </c>
      <c r="AH127" s="23">
        <v>0.0</v>
      </c>
      <c r="AI127" s="23">
        <v>1.0</v>
      </c>
      <c r="AJ127" s="22">
        <v>40.0</v>
      </c>
      <c r="AK127" s="23">
        <v>29.0</v>
      </c>
      <c r="AL127" s="22">
        <v>11.0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4</v>
      </c>
      <c r="Q128" s="17">
        <f t="shared" si="23"/>
        <v>2</v>
      </c>
      <c r="R128" s="19">
        <f t="shared" si="24"/>
        <v>0</v>
      </c>
      <c r="S128" s="19">
        <f t="shared" si="25"/>
        <v>1</v>
      </c>
      <c r="T128" s="17">
        <f t="shared" si="26"/>
        <v>25</v>
      </c>
      <c r="U128" s="19">
        <f t="shared" si="27"/>
        <v>22</v>
      </c>
      <c r="V128" s="17">
        <f t="shared" si="28"/>
        <v>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45</v>
      </c>
      <c r="AF128" s="22">
        <v>4.0</v>
      </c>
      <c r="AG128" s="22">
        <v>2.0</v>
      </c>
      <c r="AH128" s="23">
        <v>0.0</v>
      </c>
      <c r="AI128" s="23">
        <v>1.0</v>
      </c>
      <c r="AJ128" s="22">
        <v>25.0</v>
      </c>
      <c r="AK128" s="23">
        <v>22.0</v>
      </c>
      <c r="AL128" s="22">
        <v>3.0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4</v>
      </c>
      <c r="Q129" s="17">
        <f t="shared" si="23"/>
        <v>2</v>
      </c>
      <c r="R129" s="19">
        <f t="shared" si="24"/>
        <v>0</v>
      </c>
      <c r="S129" s="19">
        <f t="shared" si="25"/>
        <v>1</v>
      </c>
      <c r="T129" s="17">
        <f t="shared" si="26"/>
        <v>28</v>
      </c>
      <c r="U129" s="19">
        <f t="shared" si="27"/>
        <v>27</v>
      </c>
      <c r="V129" s="17">
        <f t="shared" si="28"/>
        <v>1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4.0</v>
      </c>
      <c r="AG129" s="22">
        <v>2.0</v>
      </c>
      <c r="AH129" s="23">
        <v>0.0</v>
      </c>
      <c r="AI129" s="23">
        <v>1.0</v>
      </c>
      <c r="AJ129" s="22">
        <v>28.0</v>
      </c>
      <c r="AK129" s="23">
        <v>27.0</v>
      </c>
      <c r="AL129" s="22">
        <v>1.0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4</v>
      </c>
      <c r="Q130" s="17">
        <f t="shared" si="23"/>
        <v>2</v>
      </c>
      <c r="R130" s="19">
        <f t="shared" si="24"/>
        <v>0</v>
      </c>
      <c r="S130" s="19">
        <f t="shared" si="25"/>
        <v>1</v>
      </c>
      <c r="T130" s="17">
        <f t="shared" si="26"/>
        <v>40</v>
      </c>
      <c r="U130" s="19">
        <f t="shared" si="27"/>
        <v>29</v>
      </c>
      <c r="V130" s="17">
        <f t="shared" si="28"/>
        <v>11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18.0</v>
      </c>
      <c r="AK130" s="23">
        <v>11.0</v>
      </c>
      <c r="AL130" s="22">
        <v>7.0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20</v>
      </c>
      <c r="U131" s="19">
        <f t="shared" si="27"/>
        <v>19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63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20.0</v>
      </c>
      <c r="AK131" s="23">
        <v>19.0</v>
      </c>
      <c r="AL131" s="22">
        <v>1.0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2.0</v>
      </c>
      <c r="AJ132" s="22">
        <v>15.0</v>
      </c>
      <c r="AK132" s="23">
        <v>26.0</v>
      </c>
      <c r="AL132" s="22">
        <v>-11.0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6</v>
      </c>
      <c r="Q133" s="17">
        <f t="shared" si="23"/>
        <v>3</v>
      </c>
      <c r="R133" s="19">
        <f t="shared" si="24"/>
        <v>0</v>
      </c>
      <c r="S133" s="19">
        <f t="shared" si="25"/>
        <v>0</v>
      </c>
      <c r="T133" s="17">
        <f t="shared" si="26"/>
        <v>41</v>
      </c>
      <c r="U133" s="19">
        <f t="shared" si="27"/>
        <v>26</v>
      </c>
      <c r="V133" s="17">
        <f t="shared" si="28"/>
        <v>15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123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17.0</v>
      </c>
      <c r="AK133" s="22">
        <v>28.0</v>
      </c>
      <c r="AL133" s="22">
        <v>-11.0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3</v>
      </c>
      <c r="T134" s="17">
        <f t="shared" si="26"/>
        <v>19</v>
      </c>
      <c r="U134" s="19">
        <f t="shared" si="27"/>
        <v>35</v>
      </c>
      <c r="V134" s="17">
        <f t="shared" si="28"/>
        <v>-16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122</v>
      </c>
      <c r="AF134" s="22">
        <v>0.0</v>
      </c>
      <c r="AG134" s="22">
        <v>0.0</v>
      </c>
      <c r="AH134" s="22">
        <v>0.0</v>
      </c>
      <c r="AI134" s="22">
        <v>3.0</v>
      </c>
      <c r="AJ134" s="22">
        <v>19.0</v>
      </c>
      <c r="AK134" s="22">
        <v>35.0</v>
      </c>
      <c r="AL134" s="22">
        <v>-16.0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76"/>
      <c r="G141" s="60" t="s">
        <v>24</v>
      </c>
      <c r="H141" s="76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76"/>
      <c r="G142" s="60" t="s">
        <v>24</v>
      </c>
      <c r="H142" s="76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76"/>
      <c r="G144" s="60" t="s">
        <v>24</v>
      </c>
      <c r="H144" s="76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76"/>
      <c r="G145" s="60" t="s">
        <v>24</v>
      </c>
      <c r="H145" s="76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76"/>
      <c r="G146" s="60" t="s">
        <v>24</v>
      </c>
      <c r="H146" s="76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76"/>
      <c r="G147" s="60" t="s">
        <v>24</v>
      </c>
      <c r="H147" s="76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76"/>
      <c r="G148" s="60" t="s">
        <v>24</v>
      </c>
      <c r="H148" s="76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76"/>
      <c r="G149" s="60" t="s">
        <v>24</v>
      </c>
      <c r="H149" s="76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41</v>
      </c>
      <c r="U3" s="19">
        <f t="shared" ref="U3:U16" si="8">SUMIF(E$3:E$51,O3,H$3:H$51)+SUMIF(I$3:I$51,O3,F$3:F$51)</f>
        <v>27</v>
      </c>
      <c r="V3" s="17">
        <f t="shared" ref="V3:V16" si="9">T3-U3</f>
        <v>14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Civil</v>
      </c>
      <c r="AC3" s="22">
        <v>6.0</v>
      </c>
      <c r="AD3" s="22">
        <v>3.0</v>
      </c>
      <c r="AE3" s="22">
        <v>0.0</v>
      </c>
      <c r="AF3" s="23">
        <v>0.0</v>
      </c>
      <c r="AG3" s="22">
        <v>45.0</v>
      </c>
      <c r="AH3" s="23">
        <v>7.0</v>
      </c>
      <c r="AI3" s="22">
        <v>38.0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6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62</v>
      </c>
      <c r="U4" s="19">
        <f t="shared" si="8"/>
        <v>26</v>
      </c>
      <c r="V4" s="17">
        <f t="shared" si="9"/>
        <v>36</v>
      </c>
      <c r="W4" s="56"/>
      <c r="X4" s="56"/>
      <c r="Y4" s="56"/>
      <c r="Z4" s="56"/>
      <c r="AA4" s="21" t="s">
        <v>34</v>
      </c>
      <c r="AB4" s="63" t="s">
        <v>23</v>
      </c>
      <c r="AC4" s="22">
        <v>6.0</v>
      </c>
      <c r="AD4" s="22">
        <v>3.0</v>
      </c>
      <c r="AE4" s="22">
        <v>0.0</v>
      </c>
      <c r="AF4" s="23">
        <v>0.0</v>
      </c>
      <c r="AG4" s="22">
        <v>62.0</v>
      </c>
      <c r="AH4" s="23">
        <v>26.0</v>
      </c>
      <c r="AI4" s="22">
        <v>36.0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1</v>
      </c>
      <c r="T5" s="17">
        <f t="shared" si="7"/>
        <v>37</v>
      </c>
      <c r="U5" s="19">
        <f t="shared" si="8"/>
        <v>28</v>
      </c>
      <c r="V5" s="17">
        <f t="shared" si="9"/>
        <v>9</v>
      </c>
      <c r="W5" s="56"/>
      <c r="X5" s="56"/>
      <c r="Y5" s="56"/>
      <c r="Z5" s="56"/>
      <c r="AA5" s="21" t="s">
        <v>39</v>
      </c>
      <c r="AB5" s="63" t="s">
        <v>33</v>
      </c>
      <c r="AC5" s="22">
        <v>6.0</v>
      </c>
      <c r="AD5" s="22">
        <v>3.0</v>
      </c>
      <c r="AE5" s="22">
        <v>0.0</v>
      </c>
      <c r="AF5" s="23">
        <v>0.0</v>
      </c>
      <c r="AG5" s="22">
        <v>47.0</v>
      </c>
      <c r="AH5" s="23">
        <v>28.0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6</v>
      </c>
      <c r="Q6" s="17">
        <f t="shared" si="4"/>
        <v>3</v>
      </c>
      <c r="R6" s="17">
        <f t="shared" si="5"/>
        <v>0</v>
      </c>
      <c r="S6" s="19">
        <f t="shared" si="6"/>
        <v>0</v>
      </c>
      <c r="T6" s="17">
        <f t="shared" si="7"/>
        <v>47</v>
      </c>
      <c r="U6" s="19">
        <f t="shared" si="8"/>
        <v>28</v>
      </c>
      <c r="V6" s="17">
        <f t="shared" si="9"/>
        <v>19</v>
      </c>
      <c r="W6" s="56"/>
      <c r="X6" s="56"/>
      <c r="Y6" s="56"/>
      <c r="Z6" s="56"/>
      <c r="AA6" s="47" t="s">
        <v>41</v>
      </c>
      <c r="AB6" s="63" t="s">
        <v>60</v>
      </c>
      <c r="AC6" s="22">
        <v>6.0</v>
      </c>
      <c r="AD6" s="22">
        <v>3.0</v>
      </c>
      <c r="AE6" s="22">
        <v>0.0</v>
      </c>
      <c r="AF6" s="23">
        <v>0.0</v>
      </c>
      <c r="AG6" s="22">
        <v>18.0</v>
      </c>
      <c r="AH6" s="23">
        <v>6.0</v>
      </c>
      <c r="AI6" s="22">
        <v>12.0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>
        <v>1.0</v>
      </c>
      <c r="G7" s="76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2</v>
      </c>
      <c r="T7" s="17">
        <f t="shared" si="7"/>
        <v>34</v>
      </c>
      <c r="U7" s="19">
        <f t="shared" si="8"/>
        <v>27</v>
      </c>
      <c r="V7" s="17">
        <f t="shared" si="9"/>
        <v>7</v>
      </c>
      <c r="W7" s="56"/>
      <c r="X7" s="56"/>
      <c r="Y7" s="56"/>
      <c r="Z7" s="56"/>
      <c r="AA7" s="47" t="s">
        <v>44</v>
      </c>
      <c r="AB7" s="63" t="s">
        <v>25</v>
      </c>
      <c r="AC7" s="22">
        <v>4.0</v>
      </c>
      <c r="AD7" s="22">
        <v>2.0</v>
      </c>
      <c r="AE7" s="22">
        <v>0.0</v>
      </c>
      <c r="AF7" s="23">
        <v>1.0</v>
      </c>
      <c r="AG7" s="22">
        <v>41.0</v>
      </c>
      <c r="AH7" s="23">
        <v>27.0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40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23</v>
      </c>
      <c r="U8" s="19">
        <f t="shared" si="8"/>
        <v>37</v>
      </c>
      <c r="V8" s="17">
        <f t="shared" si="9"/>
        <v>-14</v>
      </c>
      <c r="W8" s="56"/>
      <c r="X8" s="56"/>
      <c r="Y8" s="56"/>
      <c r="Z8" s="56"/>
      <c r="AA8" s="47" t="s">
        <v>47</v>
      </c>
      <c r="AB8" s="63" t="s">
        <v>37</v>
      </c>
      <c r="AC8" s="22">
        <v>4.0</v>
      </c>
      <c r="AD8" s="22">
        <v>2.0</v>
      </c>
      <c r="AE8" s="22">
        <v>0.0</v>
      </c>
      <c r="AF8" s="23">
        <v>1.0</v>
      </c>
      <c r="AG8" s="22">
        <v>37.0</v>
      </c>
      <c r="AH8" s="23">
        <v>28.0</v>
      </c>
      <c r="AI8" s="22">
        <v>9.0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3</v>
      </c>
      <c r="T9" s="17">
        <f t="shared" si="7"/>
        <v>18</v>
      </c>
      <c r="U9" s="19">
        <f t="shared" si="8"/>
        <v>49</v>
      </c>
      <c r="V9" s="17">
        <f t="shared" si="9"/>
        <v>-31</v>
      </c>
      <c r="W9" s="56"/>
      <c r="X9" s="56"/>
      <c r="Y9" s="56"/>
      <c r="Z9" s="56"/>
      <c r="AA9" s="47" t="s">
        <v>48</v>
      </c>
      <c r="AB9" s="63" t="s">
        <v>57</v>
      </c>
      <c r="AC9" s="22">
        <v>2.0</v>
      </c>
      <c r="AD9" s="22">
        <v>1.0</v>
      </c>
      <c r="AE9" s="22">
        <v>0.0</v>
      </c>
      <c r="AF9" s="23">
        <v>2.0</v>
      </c>
      <c r="AG9" s="22">
        <v>34.0</v>
      </c>
      <c r="AH9" s="23">
        <v>27.0</v>
      </c>
      <c r="AI9" s="22">
        <v>7.0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12</v>
      </c>
      <c r="U10" s="19">
        <f t="shared" si="8"/>
        <v>29</v>
      </c>
      <c r="V10" s="17">
        <f t="shared" si="9"/>
        <v>-17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2.0</v>
      </c>
      <c r="AD10" s="22">
        <v>1.0</v>
      </c>
      <c r="AE10" s="22">
        <v>0.0</v>
      </c>
      <c r="AF10" s="23">
        <v>2.0</v>
      </c>
      <c r="AG10" s="22">
        <v>17.0</v>
      </c>
      <c r="AH10" s="23">
        <v>14.0</v>
      </c>
      <c r="AI10" s="22">
        <v>3.0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116</v>
      </c>
      <c r="AC11" s="22">
        <v>2.0</v>
      </c>
      <c r="AD11" s="22">
        <v>1.0</v>
      </c>
      <c r="AE11" s="22">
        <v>0.0</v>
      </c>
      <c r="AF11" s="23">
        <v>2.0</v>
      </c>
      <c r="AG11" s="22">
        <v>16.0</v>
      </c>
      <c r="AH11" s="23">
        <v>25.0</v>
      </c>
      <c r="AI11" s="22">
        <v>-9.0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18</v>
      </c>
      <c r="U12" s="19">
        <f t="shared" si="8"/>
        <v>6</v>
      </c>
      <c r="V12" s="17">
        <f t="shared" si="9"/>
        <v>12</v>
      </c>
      <c r="W12" s="56"/>
      <c r="X12" s="56"/>
      <c r="Y12" s="56"/>
      <c r="Z12" s="56"/>
      <c r="AA12" s="21">
        <v>10.0</v>
      </c>
      <c r="AB12" s="63" t="s">
        <v>133</v>
      </c>
      <c r="AC12" s="22">
        <v>2.0</v>
      </c>
      <c r="AD12" s="22">
        <v>1.0</v>
      </c>
      <c r="AE12" s="22">
        <v>0.0</v>
      </c>
      <c r="AF12" s="23">
        <v>2.0</v>
      </c>
      <c r="AG12" s="22">
        <v>23.0</v>
      </c>
      <c r="AH12" s="23">
        <v>37.0</v>
      </c>
      <c r="AI12" s="22">
        <v>-14.0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3</v>
      </c>
      <c r="T13" s="17">
        <f t="shared" si="7"/>
        <v>4</v>
      </c>
      <c r="U13" s="19">
        <f t="shared" si="8"/>
        <v>28</v>
      </c>
      <c r="V13" s="17">
        <f t="shared" si="9"/>
        <v>-24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2.0</v>
      </c>
      <c r="AG13" s="22">
        <v>12.0</v>
      </c>
      <c r="AH13" s="23">
        <v>29.0</v>
      </c>
      <c r="AI13" s="22">
        <v>-17.0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>
        <v>1.0</v>
      </c>
      <c r="G14" s="76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116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16</v>
      </c>
      <c r="U14" s="19">
        <f t="shared" si="8"/>
        <v>25</v>
      </c>
      <c r="V14" s="17">
        <f t="shared" si="9"/>
        <v>-9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1.0</v>
      </c>
      <c r="AG14" s="22">
        <v>1.0</v>
      </c>
      <c r="AH14" s="23">
        <v>8.0</v>
      </c>
      <c r="AI14" s="22">
        <v>-7.0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40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2</v>
      </c>
      <c r="T15" s="17">
        <f t="shared" si="7"/>
        <v>17</v>
      </c>
      <c r="U15" s="19">
        <f t="shared" si="8"/>
        <v>14</v>
      </c>
      <c r="V15" s="17">
        <f t="shared" si="9"/>
        <v>3</v>
      </c>
      <c r="W15" s="56"/>
      <c r="X15" s="56"/>
      <c r="Y15" s="56"/>
      <c r="Z15" s="56"/>
      <c r="AA15" s="21">
        <v>13.0</v>
      </c>
      <c r="AB15" s="63" t="s">
        <v>40</v>
      </c>
      <c r="AC15" s="22">
        <v>0.0</v>
      </c>
      <c r="AD15" s="22">
        <v>0.0</v>
      </c>
      <c r="AE15" s="22">
        <v>0.0</v>
      </c>
      <c r="AF15" s="23">
        <v>3.0</v>
      </c>
      <c r="AG15" s="22">
        <v>4.0</v>
      </c>
      <c r="AH15" s="23">
        <v>28.0</v>
      </c>
      <c r="AI15" s="22">
        <v>-24.0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6</v>
      </c>
      <c r="Q16" s="17">
        <f t="shared" si="4"/>
        <v>3</v>
      </c>
      <c r="R16" s="17">
        <f t="shared" si="5"/>
        <v>0</v>
      </c>
      <c r="S16" s="19">
        <f t="shared" si="6"/>
        <v>0</v>
      </c>
      <c r="T16" s="17">
        <f t="shared" si="7"/>
        <v>45</v>
      </c>
      <c r="U16" s="19">
        <f t="shared" si="8"/>
        <v>7</v>
      </c>
      <c r="V16" s="17">
        <f t="shared" si="9"/>
        <v>38</v>
      </c>
      <c r="W16" s="56"/>
      <c r="X16" s="56"/>
      <c r="Y16" s="56"/>
      <c r="Z16" s="56"/>
      <c r="AA16" s="21">
        <v>14.0</v>
      </c>
      <c r="AB16" s="63" t="s">
        <v>59</v>
      </c>
      <c r="AC16" s="22">
        <v>0.0</v>
      </c>
      <c r="AD16" s="22">
        <v>0.0</v>
      </c>
      <c r="AE16" s="22">
        <v>0.0</v>
      </c>
      <c r="AF16" s="23">
        <v>3.0</v>
      </c>
      <c r="AG16" s="22">
        <v>18.0</v>
      </c>
      <c r="AH16" s="23">
        <v>49.0</v>
      </c>
      <c r="AI16" s="22">
        <v>-31.0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6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6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14">
        <v>20.0</v>
      </c>
      <c r="G19" s="76" t="s">
        <v>24</v>
      </c>
      <c r="H19" s="14">
        <v>3.0</v>
      </c>
      <c r="I19" s="40" t="s">
        <v>135</v>
      </c>
      <c r="J19" s="4"/>
      <c r="K19" s="4">
        <f t="shared" si="1"/>
        <v>2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6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88">
        <v>4.0</v>
      </c>
      <c r="G21" s="76" t="s">
        <v>24</v>
      </c>
      <c r="H21" s="88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6" t="s">
        <v>24</v>
      </c>
      <c r="H22" s="14">
        <v>0.0</v>
      </c>
      <c r="I22" s="40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6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76"/>
      <c r="G24" s="76" t="s">
        <v>24</v>
      </c>
      <c r="H24" s="76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76"/>
      <c r="G25" s="76" t="s">
        <v>24</v>
      </c>
      <c r="H25" s="76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76"/>
      <c r="G27" s="76" t="s">
        <v>24</v>
      </c>
      <c r="H27" s="76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27"/>
      <c r="G28" s="76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76"/>
      <c r="G29" s="76" t="s">
        <v>24</v>
      </c>
      <c r="H29" s="76"/>
      <c r="I29" s="40" t="s">
        <v>116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76"/>
      <c r="G31" s="76" t="s">
        <v>24</v>
      </c>
      <c r="H31" s="76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76"/>
      <c r="G32" s="76" t="s">
        <v>24</v>
      </c>
      <c r="H32" s="76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27"/>
      <c r="G35" s="76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1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2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3"/>
      <c r="AB3" s="93"/>
      <c r="AC3" s="93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2" t="s">
        <v>142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142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143</v>
      </c>
      <c r="F5" s="14">
        <v>1.0</v>
      </c>
      <c r="G5" s="76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41</v>
      </c>
      <c r="AF6" s="22" t="s">
        <v>144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114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145</v>
      </c>
      <c r="F8" s="14">
        <v>2.0</v>
      </c>
      <c r="G8" s="76" t="s">
        <v>24</v>
      </c>
      <c r="H8" s="14">
        <v>3.0</v>
      </c>
      <c r="I8" s="40" t="s">
        <v>142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146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145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2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145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147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2" t="s">
        <v>143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148</v>
      </c>
      <c r="D11" s="12" t="s">
        <v>94</v>
      </c>
      <c r="E11" s="14" t="s">
        <v>144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143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2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149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143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2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4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142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2" t="s">
        <v>145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4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150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151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143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142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145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145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144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142</v>
      </c>
      <c r="F25" s="14">
        <v>5.0</v>
      </c>
      <c r="G25" s="76" t="s">
        <v>24</v>
      </c>
      <c r="H25" s="14">
        <v>1.0</v>
      </c>
      <c r="I25" s="40" t="s">
        <v>143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142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143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145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6"/>
      <c r="D33" s="76"/>
      <c r="E33" s="14" t="s">
        <v>144</v>
      </c>
      <c r="F33" s="76"/>
      <c r="G33" s="76" t="s">
        <v>24</v>
      </c>
      <c r="H33" s="76"/>
      <c r="I33" s="14" t="s">
        <v>145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6"/>
      <c r="D34" s="76"/>
      <c r="E34" s="14" t="s">
        <v>61</v>
      </c>
      <c r="F34" s="76"/>
      <c r="G34" s="76" t="s">
        <v>24</v>
      </c>
      <c r="H34" s="76"/>
      <c r="I34" s="14" t="s">
        <v>114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6"/>
      <c r="D35" s="76"/>
      <c r="E35" s="14" t="s">
        <v>111</v>
      </c>
      <c r="F35" s="76"/>
      <c r="G35" s="76" t="s">
        <v>24</v>
      </c>
      <c r="H35" s="76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6"/>
      <c r="E36" s="40" t="s">
        <v>142</v>
      </c>
      <c r="F36" s="76"/>
      <c r="G36" s="76" t="s">
        <v>24</v>
      </c>
      <c r="H36" s="76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6"/>
      <c r="D37" s="76"/>
      <c r="E37" s="14" t="s">
        <v>45</v>
      </c>
      <c r="F37" s="76"/>
      <c r="G37" s="76" t="s">
        <v>24</v>
      </c>
      <c r="H37" s="76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6"/>
      <c r="E38" s="14" t="s">
        <v>25</v>
      </c>
      <c r="F38" s="76"/>
      <c r="G38" s="76" t="s">
        <v>24</v>
      </c>
      <c r="H38" s="76"/>
      <c r="I38" s="14" t="s">
        <v>143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6"/>
      <c r="D39" s="76"/>
      <c r="E39" s="14" t="s">
        <v>144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6"/>
      <c r="D41" s="76"/>
      <c r="E41" s="40" t="s">
        <v>33</v>
      </c>
      <c r="F41" s="76"/>
      <c r="G41" s="76" t="s">
        <v>24</v>
      </c>
      <c r="H41" s="76"/>
      <c r="I41" s="40" t="s">
        <v>142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6"/>
      <c r="D44" s="76"/>
      <c r="E44" s="14" t="s">
        <v>145</v>
      </c>
      <c r="F44" s="76"/>
      <c r="G44" s="76" t="s">
        <v>24</v>
      </c>
      <c r="H44" s="76"/>
      <c r="I44" s="14" t="s">
        <v>143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6"/>
      <c r="D45" s="76"/>
      <c r="E45" s="14" t="s">
        <v>61</v>
      </c>
      <c r="F45" s="76"/>
      <c r="G45" s="76" t="s">
        <v>24</v>
      </c>
      <c r="H45" s="76"/>
      <c r="I45" s="14" t="s">
        <v>145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6"/>
      <c r="D46" s="76"/>
      <c r="E46" s="14" t="s">
        <v>111</v>
      </c>
      <c r="F46" s="76"/>
      <c r="G46" s="76" t="s">
        <v>24</v>
      </c>
      <c r="H46" s="76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6"/>
      <c r="D47" s="76"/>
      <c r="E47" s="40" t="s">
        <v>142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6"/>
      <c r="D50" s="76"/>
      <c r="E50" s="14" t="s">
        <v>143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6"/>
      <c r="E52" s="40" t="s">
        <v>144</v>
      </c>
      <c r="F52" s="76"/>
      <c r="G52" s="76" t="s">
        <v>24</v>
      </c>
      <c r="H52" s="76"/>
      <c r="I52" s="40" t="s">
        <v>142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6"/>
      <c r="D55" s="76"/>
      <c r="E55" s="14" t="s">
        <v>37</v>
      </c>
      <c r="F55" s="14"/>
      <c r="G55" s="76" t="s">
        <v>24</v>
      </c>
      <c r="H55" s="14"/>
      <c r="I55" s="14" t="s">
        <v>143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6"/>
      <c r="D56" s="76"/>
      <c r="E56" s="14" t="s">
        <v>145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6"/>
      <c r="D57" s="76"/>
      <c r="E57" s="14" t="s">
        <v>145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6"/>
      <c r="D58" s="76"/>
      <c r="E58" s="40" t="s">
        <v>142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6"/>
      <c r="D59" s="76"/>
      <c r="E59" s="14" t="s">
        <v>45</v>
      </c>
      <c r="F59" s="76"/>
      <c r="G59" s="76" t="s">
        <v>24</v>
      </c>
      <c r="H59" s="76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6"/>
      <c r="D61" s="76"/>
      <c r="E61" s="14" t="s">
        <v>143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6"/>
      <c r="D63" s="76"/>
      <c r="E63" s="40" t="s">
        <v>111</v>
      </c>
      <c r="F63" s="76"/>
      <c r="G63" s="76" t="s">
        <v>24</v>
      </c>
      <c r="H63" s="76"/>
      <c r="I63" s="40" t="s">
        <v>142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6"/>
      <c r="D65" s="76"/>
      <c r="E65" s="40" t="s">
        <v>144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6"/>
      <c r="D66" s="76"/>
      <c r="E66" s="14" t="s">
        <v>114</v>
      </c>
      <c r="F66" s="76"/>
      <c r="G66" s="76" t="s">
        <v>24</v>
      </c>
      <c r="H66" s="76"/>
      <c r="I66" s="40" t="s">
        <v>143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6"/>
      <c r="D68" s="76"/>
      <c r="E68" s="40" t="s">
        <v>37</v>
      </c>
      <c r="F68" s="76"/>
      <c r="G68" s="76" t="s">
        <v>24</v>
      </c>
      <c r="H68" s="76"/>
      <c r="I68" s="40" t="s">
        <v>145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1" t="s">
        <v>152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42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6" t="s">
        <v>115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42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153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7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8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9"/>
      <c r="C81" s="100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153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8">
        <v>45957.0</v>
      </c>
      <c r="C82" s="12" t="s">
        <v>95</v>
      </c>
      <c r="D82" s="59" t="s">
        <v>94</v>
      </c>
      <c r="E82" s="40" t="s">
        <v>42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153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8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42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116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8">
        <v>45957.0</v>
      </c>
      <c r="C84" s="12" t="s">
        <v>103</v>
      </c>
      <c r="D84" s="59" t="s">
        <v>94</v>
      </c>
      <c r="E84" s="40" t="s">
        <v>153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154</v>
      </c>
      <c r="AH84" s="31"/>
      <c r="AI84" s="31"/>
      <c r="AJ84" s="31"/>
      <c r="AK84" s="31"/>
      <c r="AL84" s="101"/>
      <c r="AM84" s="101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151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8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8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42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8">
        <v>45973.0</v>
      </c>
      <c r="C88" s="59" t="s">
        <v>141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7"/>
      <c r="C89" s="76"/>
      <c r="D89" s="76"/>
      <c r="E89" s="40">
        <v>0.0</v>
      </c>
      <c r="F89" s="60"/>
      <c r="G89" s="76" t="s">
        <v>24</v>
      </c>
      <c r="H89" s="60"/>
      <c r="I89" s="40" t="s">
        <v>153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2"/>
      <c r="C92" s="100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42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153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7"/>
      <c r="C95" s="76"/>
      <c r="D95" s="76"/>
      <c r="E95" s="40" t="s">
        <v>55</v>
      </c>
      <c r="F95" s="60"/>
      <c r="G95" s="76" t="s">
        <v>24</v>
      </c>
      <c r="H95" s="60"/>
      <c r="I95" s="40" t="s">
        <v>116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7"/>
      <c r="C96" s="76"/>
      <c r="D96" s="76"/>
      <c r="E96" s="40" t="s">
        <v>59</v>
      </c>
      <c r="F96" s="60"/>
      <c r="G96" s="76" t="s">
        <v>24</v>
      </c>
      <c r="H96" s="60"/>
      <c r="I96" s="40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7"/>
      <c r="C97" s="76"/>
      <c r="D97" s="76"/>
      <c r="E97" s="40" t="s">
        <v>32</v>
      </c>
      <c r="F97" s="60"/>
      <c r="G97" s="76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7"/>
      <c r="C98" s="76"/>
      <c r="D98" s="76"/>
      <c r="E98" s="40" t="s">
        <v>153</v>
      </c>
      <c r="F98" s="60"/>
      <c r="G98" s="76" t="s">
        <v>24</v>
      </c>
      <c r="H98" s="60"/>
      <c r="I98" s="40" t="s">
        <v>42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7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7"/>
      <c r="C100" s="76"/>
      <c r="D100" s="76"/>
      <c r="E100" s="40" t="s">
        <v>116</v>
      </c>
      <c r="F100" s="60"/>
      <c r="G100" s="76" t="s">
        <v>24</v>
      </c>
      <c r="H100" s="60"/>
      <c r="I100" s="40" t="s">
        <v>153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7"/>
      <c r="C101" s="76"/>
      <c r="D101" s="76"/>
      <c r="E101" s="40" t="s">
        <v>113</v>
      </c>
      <c r="F101" s="60"/>
      <c r="G101" s="76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7"/>
      <c r="C102" s="76"/>
      <c r="D102" s="76"/>
      <c r="E102" s="40" t="s">
        <v>63</v>
      </c>
      <c r="F102" s="60"/>
      <c r="G102" s="76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7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7"/>
      <c r="C104" s="76"/>
      <c r="D104" s="76"/>
      <c r="E104" s="40" t="s">
        <v>42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7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7"/>
      <c r="C106" s="76"/>
      <c r="D106" s="76"/>
      <c r="E106" s="40" t="s">
        <v>153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7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7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7"/>
      <c r="C109" s="76"/>
      <c r="D109" s="76"/>
      <c r="E109" s="40">
        <v>0.0</v>
      </c>
      <c r="F109" s="60"/>
      <c r="G109" s="76" t="s">
        <v>24</v>
      </c>
      <c r="H109" s="60"/>
      <c r="I109" s="40" t="s">
        <v>42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7"/>
      <c r="C110" s="76"/>
      <c r="D110" s="76"/>
      <c r="E110" s="40" t="s">
        <v>116</v>
      </c>
      <c r="F110" s="60"/>
      <c r="G110" s="76" t="s">
        <v>24</v>
      </c>
      <c r="H110" s="60"/>
      <c r="I110" s="40" t="s">
        <v>42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7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7"/>
      <c r="C112" s="76"/>
      <c r="D112" s="76"/>
      <c r="E112" s="40" t="s">
        <v>63</v>
      </c>
      <c r="F112" s="60"/>
      <c r="G112" s="76" t="s">
        <v>24</v>
      </c>
      <c r="H112" s="60"/>
      <c r="I112" s="40" t="s">
        <v>153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7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7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7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7"/>
      <c r="C116" s="76"/>
      <c r="D116" s="76"/>
      <c r="E116" s="40" t="s">
        <v>42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7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7"/>
      <c r="C118" s="60"/>
      <c r="D118" s="76"/>
      <c r="E118" s="40" t="s">
        <v>153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7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1" t="s">
        <v>155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8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156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156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8">
        <v>45952.0</v>
      </c>
      <c r="C127" s="12" t="s">
        <v>147</v>
      </c>
      <c r="D127" s="12" t="s">
        <v>94</v>
      </c>
      <c r="E127" s="40" t="s">
        <v>118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115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8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118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157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8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157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118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7"/>
      <c r="C130" s="76"/>
      <c r="D130" s="60"/>
      <c r="E130" s="40" t="s">
        <v>158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156</v>
      </c>
      <c r="F131" s="40">
        <v>0.0</v>
      </c>
      <c r="G131" s="76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158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2"/>
      <c r="C132" s="100"/>
      <c r="D132" s="100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157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158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156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157</v>
      </c>
      <c r="F135" s="40">
        <v>5.0</v>
      </c>
      <c r="G135" s="76" t="s">
        <v>24</v>
      </c>
      <c r="H135" s="40">
        <v>2.0</v>
      </c>
      <c r="I135" s="40" t="s">
        <v>158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159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156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151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158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7"/>
      <c r="C140" s="76"/>
      <c r="D140" s="76"/>
      <c r="E140" s="40">
        <v>0.0</v>
      </c>
      <c r="F140" s="60"/>
      <c r="G140" s="76" t="s">
        <v>24</v>
      </c>
      <c r="H140" s="60"/>
      <c r="I140" s="40" t="s">
        <v>157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7"/>
      <c r="C141" s="60"/>
      <c r="D141" s="76"/>
      <c r="E141" s="40" t="s">
        <v>156</v>
      </c>
      <c r="F141" s="60"/>
      <c r="G141" s="76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7"/>
      <c r="C142" s="76"/>
      <c r="D142" s="76"/>
      <c r="E142" s="40" t="s">
        <v>62</v>
      </c>
      <c r="F142" s="60"/>
      <c r="G142" s="76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7"/>
      <c r="C143" s="76"/>
      <c r="D143" s="76"/>
      <c r="E143" s="40" t="s">
        <v>118</v>
      </c>
      <c r="F143" s="60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7"/>
      <c r="C144" s="60"/>
      <c r="D144" s="76"/>
      <c r="E144" s="40" t="s">
        <v>123</v>
      </c>
      <c r="F144" s="60"/>
      <c r="G144" s="76" t="s">
        <v>24</v>
      </c>
      <c r="H144" s="60"/>
      <c r="I144" s="40" t="s">
        <v>158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7"/>
      <c r="C145" s="76"/>
      <c r="D145" s="76"/>
      <c r="E145" s="40" t="s">
        <v>57</v>
      </c>
      <c r="F145" s="60"/>
      <c r="G145" s="76" t="s">
        <v>24</v>
      </c>
      <c r="H145" s="60"/>
      <c r="I145" s="40" t="s">
        <v>157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7"/>
      <c r="C146" s="76"/>
      <c r="D146" s="76"/>
      <c r="E146" s="40" t="s">
        <v>158</v>
      </c>
      <c r="F146" s="60"/>
      <c r="G146" s="76" t="s">
        <v>24</v>
      </c>
      <c r="H146" s="60"/>
      <c r="I146" s="40" t="s">
        <v>156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7"/>
      <c r="C147" s="76"/>
      <c r="D147" s="76"/>
      <c r="E147" s="40" t="s">
        <v>56</v>
      </c>
      <c r="F147" s="60"/>
      <c r="G147" s="76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7"/>
      <c r="C148" s="76"/>
      <c r="D148" s="76"/>
      <c r="E148" s="40" t="s">
        <v>133</v>
      </c>
      <c r="F148" s="60"/>
      <c r="G148" s="76" t="s">
        <v>24</v>
      </c>
      <c r="H148" s="60"/>
      <c r="I148" s="40" t="s">
        <v>118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7"/>
      <c r="C149" s="76"/>
      <c r="D149" s="76"/>
      <c r="E149" s="40" t="s">
        <v>157</v>
      </c>
      <c r="F149" s="60"/>
      <c r="G149" s="76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7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7"/>
      <c r="C151" s="76"/>
      <c r="D151" s="76"/>
      <c r="E151" s="40" t="s">
        <v>156</v>
      </c>
      <c r="F151" s="60"/>
      <c r="G151" s="76" t="s">
        <v>24</v>
      </c>
      <c r="H151" s="60"/>
      <c r="I151" s="40" t="s">
        <v>157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7"/>
      <c r="C152" s="76"/>
      <c r="D152" s="76"/>
      <c r="E152" s="40" t="s">
        <v>62</v>
      </c>
      <c r="F152" s="60"/>
      <c r="G152" s="76" t="s">
        <v>24</v>
      </c>
      <c r="H152" s="60"/>
      <c r="I152" s="40" t="s">
        <v>158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7"/>
      <c r="C153" s="76"/>
      <c r="D153" s="76"/>
      <c r="E153" s="40" t="s">
        <v>118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7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7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7"/>
      <c r="C156" s="76"/>
      <c r="D156" s="76"/>
      <c r="E156" s="40" t="s">
        <v>57</v>
      </c>
      <c r="F156" s="60"/>
      <c r="G156" s="76" t="s">
        <v>24</v>
      </c>
      <c r="H156" s="60"/>
      <c r="I156" s="40" t="s">
        <v>156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7"/>
      <c r="C157" s="76"/>
      <c r="D157" s="76"/>
      <c r="E157" s="40" t="s">
        <v>157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7"/>
      <c r="C158" s="76"/>
      <c r="D158" s="76"/>
      <c r="E158" s="40" t="s">
        <v>158</v>
      </c>
      <c r="F158" s="60"/>
      <c r="G158" s="76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7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7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7"/>
      <c r="C161" s="76"/>
      <c r="D161" s="76"/>
      <c r="E161" s="40" t="s">
        <v>156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7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7"/>
      <c r="C163" s="76"/>
      <c r="D163" s="76"/>
      <c r="E163" s="40" t="s">
        <v>118</v>
      </c>
      <c r="F163" s="60"/>
      <c r="G163" s="76" t="s">
        <v>24</v>
      </c>
      <c r="H163" s="60"/>
      <c r="I163" s="40" t="s">
        <v>157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7"/>
      <c r="C164" s="76"/>
      <c r="D164" s="76"/>
      <c r="E164" s="40" t="s">
        <v>133</v>
      </c>
      <c r="F164" s="60"/>
      <c r="G164" s="76" t="s">
        <v>24</v>
      </c>
      <c r="H164" s="60"/>
      <c r="I164" s="40" t="s">
        <v>158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7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7"/>
      <c r="C166" s="76"/>
      <c r="D166" s="76"/>
      <c r="E166" s="40">
        <v>0.0</v>
      </c>
      <c r="F166" s="60"/>
      <c r="G166" s="76" t="s">
        <v>24</v>
      </c>
      <c r="H166" s="60"/>
      <c r="I166" s="40" t="s">
        <v>156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7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7"/>
      <c r="C168" s="60"/>
      <c r="D168" s="76"/>
      <c r="E168" s="40" t="s">
        <v>57</v>
      </c>
      <c r="F168" s="60"/>
      <c r="G168" s="76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7"/>
      <c r="C169" s="60"/>
      <c r="D169" s="76"/>
      <c r="E169" s="40" t="s">
        <v>157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7"/>
      <c r="C170" s="76"/>
      <c r="D170" s="76"/>
      <c r="E170" s="40" t="s">
        <v>158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3" t="s">
        <v>160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43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115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161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161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146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162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43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40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162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43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161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161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43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162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8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163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8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151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8">
        <v>45966.0</v>
      </c>
      <c r="C189" s="59" t="s">
        <v>164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43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8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161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8">
        <v>45966.0</v>
      </c>
      <c r="C191" s="59" t="s">
        <v>146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162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7"/>
      <c r="C192" s="60"/>
      <c r="D192" s="76"/>
      <c r="E192" s="40" t="s">
        <v>40</v>
      </c>
      <c r="F192" s="60"/>
      <c r="G192" s="76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7"/>
      <c r="C193" s="76"/>
      <c r="D193" s="76"/>
      <c r="E193" s="40" t="s">
        <v>31</v>
      </c>
      <c r="F193" s="60"/>
      <c r="G193" s="76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7"/>
      <c r="C194" s="76"/>
      <c r="D194" s="76"/>
      <c r="E194" s="40" t="s">
        <v>54</v>
      </c>
      <c r="F194" s="40"/>
      <c r="G194" s="76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7"/>
      <c r="C195" s="60"/>
      <c r="D195" s="76"/>
      <c r="E195" s="40" t="s">
        <v>43</v>
      </c>
      <c r="F195" s="60"/>
      <c r="G195" s="76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7"/>
      <c r="C196" s="76"/>
      <c r="D196" s="76"/>
      <c r="E196" s="40" t="s">
        <v>161</v>
      </c>
      <c r="F196" s="60"/>
      <c r="G196" s="76" t="s">
        <v>24</v>
      </c>
      <c r="H196" s="60"/>
      <c r="I196" s="40" t="s">
        <v>162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7"/>
      <c r="C197" s="76"/>
      <c r="D197" s="76"/>
      <c r="E197" s="40" t="s">
        <v>60</v>
      </c>
      <c r="F197" s="60"/>
      <c r="G197" s="76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7"/>
      <c r="C198" s="76"/>
      <c r="D198" s="76"/>
      <c r="E198" s="40" t="s">
        <v>38</v>
      </c>
      <c r="F198" s="60"/>
      <c r="G198" s="76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7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7"/>
      <c r="C200" s="76"/>
      <c r="D200" s="76"/>
      <c r="E200" s="40" t="s">
        <v>162</v>
      </c>
      <c r="F200" s="60"/>
      <c r="G200" s="76" t="s">
        <v>24</v>
      </c>
      <c r="H200" s="60"/>
      <c r="I200" s="40" t="s">
        <v>43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7"/>
      <c r="C201" s="76"/>
      <c r="D201" s="76"/>
      <c r="E201" s="40" t="s">
        <v>92</v>
      </c>
      <c r="F201" s="60"/>
      <c r="G201" s="76" t="s">
        <v>24</v>
      </c>
      <c r="H201" s="60"/>
      <c r="I201" s="40" t="s">
        <v>161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7"/>
      <c r="C202" s="76"/>
      <c r="D202" s="76"/>
      <c r="E202" s="40" t="s">
        <v>40</v>
      </c>
      <c r="F202" s="60"/>
      <c r="G202" s="76" t="s">
        <v>24</v>
      </c>
      <c r="H202" s="60"/>
      <c r="I202" s="40" t="s">
        <v>162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7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7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7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7"/>
      <c r="C206" s="76"/>
      <c r="D206" s="76"/>
      <c r="E206" s="40" t="s">
        <v>43</v>
      </c>
      <c r="F206" s="60"/>
      <c r="G206" s="76" t="s">
        <v>24</v>
      </c>
      <c r="H206" s="60"/>
      <c r="I206" s="40" t="s">
        <v>161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7"/>
      <c r="C207" s="76"/>
      <c r="D207" s="76"/>
      <c r="E207" s="40" t="s">
        <v>161</v>
      </c>
      <c r="F207" s="60"/>
      <c r="G207" s="76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7"/>
      <c r="C208" s="76"/>
      <c r="D208" s="76"/>
      <c r="E208" s="40" t="s">
        <v>162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7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7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7"/>
      <c r="C211" s="76"/>
      <c r="D211" s="76"/>
      <c r="E211" s="40" t="s">
        <v>92</v>
      </c>
      <c r="F211" s="60"/>
      <c r="G211" s="76" t="s">
        <v>24</v>
      </c>
      <c r="H211" s="60"/>
      <c r="I211" s="40" t="s">
        <v>43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7"/>
      <c r="C212" s="76"/>
      <c r="D212" s="76"/>
      <c r="E212" s="40" t="s">
        <v>40</v>
      </c>
      <c r="F212" s="60"/>
      <c r="G212" s="76" t="s">
        <v>24</v>
      </c>
      <c r="H212" s="60"/>
      <c r="I212" s="40" t="s">
        <v>43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7"/>
      <c r="C213" s="76"/>
      <c r="D213" s="76"/>
      <c r="E213" s="40" t="s">
        <v>31</v>
      </c>
      <c r="F213" s="40"/>
      <c r="G213" s="76" t="s">
        <v>24</v>
      </c>
      <c r="H213" s="40"/>
      <c r="I213" s="40" t="s">
        <v>161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7"/>
      <c r="C214" s="76"/>
      <c r="D214" s="76"/>
      <c r="E214" s="40" t="s">
        <v>54</v>
      </c>
      <c r="F214" s="60"/>
      <c r="G214" s="76" t="s">
        <v>24</v>
      </c>
      <c r="H214" s="60"/>
      <c r="I214" s="40" t="s">
        <v>162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7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7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7"/>
      <c r="C217" s="76"/>
      <c r="D217" s="76"/>
      <c r="E217" s="40" t="s">
        <v>92</v>
      </c>
      <c r="F217" s="60"/>
      <c r="G217" s="76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7"/>
      <c r="C218" s="76"/>
      <c r="D218" s="76"/>
      <c r="E218" s="40" t="s">
        <v>43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7"/>
      <c r="C219" s="60"/>
      <c r="D219" s="76"/>
      <c r="E219" s="40" t="s">
        <v>161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7"/>
      <c r="C220" s="60"/>
      <c r="D220" s="76"/>
      <c r="E220" s="40" t="s">
        <v>162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7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6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171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172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Fisioterapia</v>
      </c>
      <c r="AA3" s="22">
        <v>6.0</v>
      </c>
      <c r="AB3" s="22">
        <v>0.0</v>
      </c>
      <c r="AC3" s="22">
        <v>0.0</v>
      </c>
      <c r="AD3" s="23">
        <v>0.0</v>
      </c>
      <c r="AE3" s="22">
        <v>13.0</v>
      </c>
      <c r="AF3" s="23">
        <v>2.0</v>
      </c>
      <c r="AG3" s="22">
        <v>11.0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6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8</v>
      </c>
      <c r="U4" s="19">
        <f t="shared" si="8"/>
        <v>3</v>
      </c>
      <c r="V4" s="17">
        <f t="shared" si="9"/>
        <v>5</v>
      </c>
      <c r="W4" s="56"/>
      <c r="X4" s="56"/>
      <c r="Y4" s="21" t="s">
        <v>34</v>
      </c>
      <c r="Z4" s="63" t="s">
        <v>62</v>
      </c>
      <c r="AA4" s="22">
        <v>6.0</v>
      </c>
      <c r="AB4" s="22">
        <v>0.0</v>
      </c>
      <c r="AC4" s="22">
        <v>0.0</v>
      </c>
      <c r="AD4" s="23">
        <v>0.0</v>
      </c>
      <c r="AE4" s="22">
        <v>10.0</v>
      </c>
      <c r="AF4" s="23">
        <v>2.0</v>
      </c>
      <c r="AG4" s="22">
        <v>8.0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42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31</v>
      </c>
      <c r="AA5" s="22">
        <v>6.0</v>
      </c>
      <c r="AB5" s="22">
        <v>0.0</v>
      </c>
      <c r="AC5" s="22">
        <v>0.0</v>
      </c>
      <c r="AD5" s="23">
        <v>0.0</v>
      </c>
      <c r="AE5" s="22">
        <v>8.0</v>
      </c>
      <c r="AF5" s="23">
        <v>3.0</v>
      </c>
      <c r="AG5" s="22">
        <v>5.0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6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10</v>
      </c>
      <c r="U6" s="19">
        <f t="shared" si="8"/>
        <v>2</v>
      </c>
      <c r="V6" s="17">
        <f t="shared" si="9"/>
        <v>8</v>
      </c>
      <c r="W6" s="56"/>
      <c r="X6" s="56"/>
      <c r="Y6" s="47" t="s">
        <v>41</v>
      </c>
      <c r="Z6" s="63" t="s">
        <v>25</v>
      </c>
      <c r="AA6" s="22">
        <v>3.0</v>
      </c>
      <c r="AB6" s="22">
        <v>0.0</v>
      </c>
      <c r="AC6" s="22">
        <v>0.0</v>
      </c>
      <c r="AD6" s="23">
        <v>1.0</v>
      </c>
      <c r="AE6" s="22">
        <v>9.0</v>
      </c>
      <c r="AF6" s="23">
        <v>4.0</v>
      </c>
      <c r="AG6" s="22">
        <v>5.0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173</v>
      </c>
      <c r="D7" s="12" t="s">
        <v>94</v>
      </c>
      <c r="E7" s="40" t="s">
        <v>113</v>
      </c>
      <c r="F7" s="88">
        <v>4.0</v>
      </c>
      <c r="G7" s="76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6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13</v>
      </c>
      <c r="U7" s="19">
        <f t="shared" si="8"/>
        <v>2</v>
      </c>
      <c r="V7" s="17">
        <f t="shared" si="9"/>
        <v>11</v>
      </c>
      <c r="W7" s="56"/>
      <c r="X7" s="56"/>
      <c r="Y7" s="47" t="s">
        <v>44</v>
      </c>
      <c r="Z7" s="63" t="s">
        <v>57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0.0</v>
      </c>
      <c r="AG7" s="22">
        <v>3.0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175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3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9</v>
      </c>
      <c r="U8" s="19">
        <f t="shared" si="8"/>
        <v>4</v>
      </c>
      <c r="V8" s="17">
        <f t="shared" si="9"/>
        <v>5</v>
      </c>
      <c r="W8" s="56"/>
      <c r="X8" s="56"/>
      <c r="Y8" s="47" t="s">
        <v>47</v>
      </c>
      <c r="Z8" s="63" t="s">
        <v>61</v>
      </c>
      <c r="AA8" s="22">
        <v>3.0</v>
      </c>
      <c r="AB8" s="22">
        <v>0.0</v>
      </c>
      <c r="AC8" s="22">
        <v>0.0</v>
      </c>
      <c r="AD8" s="23">
        <v>0.0</v>
      </c>
      <c r="AE8" s="22">
        <v>3.0</v>
      </c>
      <c r="AF8" s="23">
        <v>1.0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42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3</v>
      </c>
      <c r="U9" s="19">
        <f t="shared" si="8"/>
        <v>8</v>
      </c>
      <c r="V9" s="17">
        <f t="shared" si="9"/>
        <v>-5</v>
      </c>
      <c r="W9" s="56"/>
      <c r="X9" s="56"/>
      <c r="Y9" s="47" t="s">
        <v>48</v>
      </c>
      <c r="Z9" s="63" t="s">
        <v>113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161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47" t="s">
        <v>134</v>
      </c>
      <c r="Z10" s="63" t="s">
        <v>161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33</v>
      </c>
      <c r="AA11" s="22">
        <v>3.0</v>
      </c>
      <c r="AB11" s="22">
        <v>0.0</v>
      </c>
      <c r="AC11" s="22">
        <v>0.0</v>
      </c>
      <c r="AD11" s="23">
        <v>1.0</v>
      </c>
      <c r="AE11" s="22">
        <v>6.0</v>
      </c>
      <c r="AF11" s="23">
        <v>6.0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6" t="s">
        <v>24</v>
      </c>
      <c r="H12" s="14"/>
      <c r="I12" s="40" t="s">
        <v>113</v>
      </c>
      <c r="J12" s="4"/>
      <c r="K12" s="4" t="str">
        <f t="shared" si="1"/>
        <v/>
      </c>
      <c r="L12" s="17" t="str">
        <f t="shared" si="2"/>
        <v/>
      </c>
      <c r="M12" s="4"/>
      <c r="N12" s="71">
        <v>10.0</v>
      </c>
      <c r="O12" s="71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37</v>
      </c>
      <c r="AA12" s="22">
        <v>3.0</v>
      </c>
      <c r="AB12" s="22">
        <v>0.0</v>
      </c>
      <c r="AC12" s="22">
        <v>0.0</v>
      </c>
      <c r="AD12" s="23">
        <v>1.0</v>
      </c>
      <c r="AE12" s="22">
        <v>8.0</v>
      </c>
      <c r="AF12" s="23">
        <v>9.0</v>
      </c>
      <c r="AG12" s="22">
        <v>-1.0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148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176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88">
        <v>9.0</v>
      </c>
      <c r="G14" s="76" t="s">
        <v>24</v>
      </c>
      <c r="H14" s="88">
        <v>0.0</v>
      </c>
      <c r="I14" s="40" t="s">
        <v>174</v>
      </c>
      <c r="J14" s="4"/>
      <c r="K14" s="4">
        <f t="shared" si="1"/>
        <v>3</v>
      </c>
      <c r="L14" s="17">
        <f t="shared" si="2"/>
        <v>0</v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1</v>
      </c>
      <c r="U14" s="19">
        <f t="shared" si="8"/>
        <v>12</v>
      </c>
      <c r="V14" s="17">
        <f t="shared" si="9"/>
        <v>-11</v>
      </c>
      <c r="W14" s="56"/>
      <c r="X14" s="56"/>
      <c r="Y14" s="21">
        <v>12.0</v>
      </c>
      <c r="Z14" s="63" t="s">
        <v>32</v>
      </c>
      <c r="AA14" s="22">
        <v>0.0</v>
      </c>
      <c r="AB14" s="22">
        <v>0.0</v>
      </c>
      <c r="AC14" s="22">
        <v>0.0</v>
      </c>
      <c r="AD14" s="23">
        <v>2.0</v>
      </c>
      <c r="AE14" s="22">
        <v>2.0</v>
      </c>
      <c r="AF14" s="23">
        <v>5.0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164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2</v>
      </c>
      <c r="T15" s="17">
        <f t="shared" si="7"/>
        <v>6</v>
      </c>
      <c r="U15" s="19">
        <f t="shared" si="8"/>
        <v>12</v>
      </c>
      <c r="V15" s="17">
        <f t="shared" si="9"/>
        <v>-6</v>
      </c>
      <c r="W15" s="56"/>
      <c r="X15" s="56"/>
      <c r="Y15" s="21">
        <v>13.0</v>
      </c>
      <c r="Z15" s="63" t="s">
        <v>42</v>
      </c>
      <c r="AA15" s="22">
        <v>0.0</v>
      </c>
      <c r="AB15" s="22">
        <v>0.0</v>
      </c>
      <c r="AC15" s="22">
        <v>0.0</v>
      </c>
      <c r="AD15" s="23">
        <v>2.0</v>
      </c>
      <c r="AE15" s="22">
        <v>3.0</v>
      </c>
      <c r="AF15" s="23">
        <v>8.0</v>
      </c>
      <c r="AG15" s="22">
        <v>-5.0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42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161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111</v>
      </c>
      <c r="AA16" s="22">
        <v>0.0</v>
      </c>
      <c r="AB16" s="22">
        <v>0.0</v>
      </c>
      <c r="AC16" s="22">
        <v>0.0</v>
      </c>
      <c r="AD16" s="23">
        <v>2.0</v>
      </c>
      <c r="AE16" s="22">
        <v>6.0</v>
      </c>
      <c r="AF16" s="23">
        <v>12.0</v>
      </c>
      <c r="AG16" s="22">
        <v>-6.0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80"/>
      <c r="C17" s="76"/>
      <c r="D17" s="76"/>
      <c r="E17" s="40" t="s">
        <v>59</v>
      </c>
      <c r="F17" s="76"/>
      <c r="G17" s="76" t="s">
        <v>24</v>
      </c>
      <c r="H17" s="76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2.0</v>
      </c>
      <c r="AE17" s="22">
        <v>1.0</v>
      </c>
      <c r="AF17" s="23">
        <v>12.0</v>
      </c>
      <c r="AG17" s="22">
        <v>-11.0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80"/>
      <c r="C18" s="76"/>
      <c r="D18" s="76"/>
      <c r="E18" s="40" t="s">
        <v>161</v>
      </c>
      <c r="F18" s="76"/>
      <c r="G18" s="76" t="s">
        <v>24</v>
      </c>
      <c r="H18" s="76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80"/>
      <c r="C19" s="76"/>
      <c r="D19" s="76"/>
      <c r="E19" s="40" t="s">
        <v>65</v>
      </c>
      <c r="F19" s="14"/>
      <c r="G19" s="76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80"/>
      <c r="C20" s="76"/>
      <c r="D20" s="76"/>
      <c r="E20" s="40" t="s">
        <v>113</v>
      </c>
      <c r="F20" s="76"/>
      <c r="G20" s="76" t="s">
        <v>24</v>
      </c>
      <c r="H20" s="76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80"/>
      <c r="C21" s="76"/>
      <c r="D21" s="76"/>
      <c r="E21" s="40" t="s">
        <v>33</v>
      </c>
      <c r="F21" s="27"/>
      <c r="G21" s="76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80"/>
      <c r="C22" s="76"/>
      <c r="D22" s="76"/>
      <c r="E22" s="40" t="s">
        <v>57</v>
      </c>
      <c r="F22" s="76"/>
      <c r="G22" s="76" t="s">
        <v>24</v>
      </c>
      <c r="H22" s="76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80"/>
      <c r="C23" s="76"/>
      <c r="D23" s="76"/>
      <c r="E23" s="40" t="s">
        <v>111</v>
      </c>
      <c r="F23" s="76"/>
      <c r="G23" s="76" t="s">
        <v>24</v>
      </c>
      <c r="H23" s="76"/>
      <c r="I23" s="40" t="s">
        <v>42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76"/>
      <c r="G24" s="76" t="s">
        <v>24</v>
      </c>
      <c r="H24" s="76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76"/>
      <c r="G25" s="76" t="s">
        <v>24</v>
      </c>
      <c r="H25" s="76"/>
      <c r="I25" s="40" t="s">
        <v>161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/>
      <c r="G26" s="76" t="s">
        <v>24</v>
      </c>
      <c r="H26" s="14"/>
      <c r="I26" s="40" t="s">
        <v>111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27"/>
      <c r="G28" s="76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76"/>
      <c r="G29" s="76" t="s">
        <v>24</v>
      </c>
      <c r="H29" s="76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76"/>
      <c r="G30" s="76" t="s">
        <v>24</v>
      </c>
      <c r="H30" s="76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76"/>
      <c r="G31" s="76" t="s">
        <v>24</v>
      </c>
      <c r="H31" s="76"/>
      <c r="I31" s="40" t="s">
        <v>113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76"/>
      <c r="G32" s="76" t="s">
        <v>24</v>
      </c>
      <c r="H32" s="76"/>
      <c r="I32" s="40" t="s">
        <v>42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40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27"/>
      <c r="G35" s="76" t="s">
        <v>24</v>
      </c>
      <c r="H35" s="27"/>
      <c r="I35" s="40" t="s">
        <v>161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40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161</v>
      </c>
      <c r="F42" s="27"/>
      <c r="G42" s="76" t="s">
        <v>24</v>
      </c>
      <c r="H42" s="27"/>
      <c r="I42" s="40" t="s">
        <v>42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42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40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161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42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161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42</v>
      </c>
      <c r="F60" s="76"/>
      <c r="G60" s="76" t="s">
        <v>24</v>
      </c>
      <c r="H60" s="76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179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180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181</v>
      </c>
      <c r="E3" s="40" t="s">
        <v>114</v>
      </c>
      <c r="F3" s="14">
        <v>2.0</v>
      </c>
      <c r="G3" s="76" t="s">
        <v>24</v>
      </c>
      <c r="H3" s="105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2" t="s">
        <v>114</v>
      </c>
      <c r="P3" s="106">
        <f t="shared" ref="P3:P14" si="3">SUMIF(E$3:E$68,O3,K$3:K$68)+SUMIF(I$3:I$68,O3,L$3:L$68)</f>
        <v>9</v>
      </c>
      <c r="Q3" s="106">
        <f t="shared" ref="Q3:Q14" si="4">COUNTIFS(E$3:E$68,O3,K$3:K$68,3)+COUNTIFS(I$3:I$68,O3,L$3:L$68,3)</f>
        <v>3</v>
      </c>
      <c r="R3" s="106">
        <f t="shared" ref="R3:R14" si="5">COUNTIFS(E$3:E$68,O3,K$3:K$68,1)+COUNTIFS(I$3:I$68,O3,L$3:L$68,1)</f>
        <v>0</v>
      </c>
      <c r="S3" s="107">
        <f t="shared" ref="S3:S14" si="6">COUNTIFS(E$3:E$68,O3,K$3:K$68,0)+COUNTIFS(I$3:I$68,O3,L$3:L$68,0)</f>
        <v>0</v>
      </c>
      <c r="T3" s="106">
        <f t="shared" ref="T3:T14" si="7">SUMIF(E$3:E$68,O3,F$3:F$68)+SUMIF(I$3:I$68,O3,H$3:H$68)</f>
        <v>11</v>
      </c>
      <c r="U3" s="107">
        <f t="shared" ref="U3:U14" si="8">SUMIF(E$3:E$68,O3,H$3:H$68)+SUMIF(I$3:I$68,O3,F$3:F$68)</f>
        <v>1</v>
      </c>
      <c r="V3" s="106">
        <f t="shared" ref="V3:V14" si="9">T3-U3</f>
        <v>10</v>
      </c>
      <c r="W3" s="2"/>
      <c r="X3" s="108" t="s">
        <v>26</v>
      </c>
      <c r="Y3" s="108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181</v>
      </c>
      <c r="E4" s="40" t="s">
        <v>40</v>
      </c>
      <c r="F4" s="14">
        <v>1.0</v>
      </c>
      <c r="G4" s="76" t="s">
        <v>24</v>
      </c>
      <c r="H4" s="105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2" t="s">
        <v>33</v>
      </c>
      <c r="P4" s="106">
        <f t="shared" si="3"/>
        <v>6</v>
      </c>
      <c r="Q4" s="106">
        <f t="shared" si="4"/>
        <v>2</v>
      </c>
      <c r="R4" s="106">
        <f t="shared" si="5"/>
        <v>0</v>
      </c>
      <c r="S4" s="107">
        <f t="shared" si="6"/>
        <v>1</v>
      </c>
      <c r="T4" s="106">
        <f t="shared" si="7"/>
        <v>9</v>
      </c>
      <c r="U4" s="107">
        <f t="shared" si="8"/>
        <v>4</v>
      </c>
      <c r="V4" s="106">
        <f t="shared" si="9"/>
        <v>5</v>
      </c>
      <c r="W4" s="2"/>
      <c r="X4" s="109" t="s">
        <v>25</v>
      </c>
      <c r="Y4" s="109">
        <v>3.0</v>
      </c>
      <c r="Z4" s="2"/>
      <c r="AA4" s="21" t="s">
        <v>34</v>
      </c>
      <c r="AB4" s="27" t="s">
        <v>114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8">
        <v>45950.0</v>
      </c>
      <c r="C5" s="12" t="s">
        <v>103</v>
      </c>
      <c r="D5" s="12" t="s">
        <v>181</v>
      </c>
      <c r="E5" s="40" t="s">
        <v>23</v>
      </c>
      <c r="F5" s="14">
        <v>1.0</v>
      </c>
      <c r="G5" s="76" t="s">
        <v>24</v>
      </c>
      <c r="H5" s="105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54</v>
      </c>
      <c r="P5" s="106">
        <f t="shared" si="3"/>
        <v>0</v>
      </c>
      <c r="Q5" s="106">
        <f t="shared" si="4"/>
        <v>0</v>
      </c>
      <c r="R5" s="106">
        <f t="shared" si="5"/>
        <v>0</v>
      </c>
      <c r="S5" s="107">
        <f t="shared" si="6"/>
        <v>3</v>
      </c>
      <c r="T5" s="106">
        <f t="shared" si="7"/>
        <v>1</v>
      </c>
      <c r="U5" s="107">
        <f t="shared" si="8"/>
        <v>6</v>
      </c>
      <c r="V5" s="106">
        <f t="shared" si="9"/>
        <v>-5</v>
      </c>
      <c r="W5" s="2"/>
      <c r="X5" s="109" t="s">
        <v>142</v>
      </c>
      <c r="Y5" s="109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181</v>
      </c>
      <c r="E6" s="40" t="s">
        <v>25</v>
      </c>
      <c r="F6" s="14">
        <v>2.0</v>
      </c>
      <c r="G6" s="76" t="s">
        <v>24</v>
      </c>
      <c r="H6" s="105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61</v>
      </c>
      <c r="P6" s="106">
        <f t="shared" si="3"/>
        <v>0</v>
      </c>
      <c r="Q6" s="106">
        <f t="shared" si="4"/>
        <v>0</v>
      </c>
      <c r="R6" s="106">
        <f t="shared" si="5"/>
        <v>0</v>
      </c>
      <c r="S6" s="107">
        <f t="shared" si="6"/>
        <v>4</v>
      </c>
      <c r="T6" s="106">
        <f t="shared" si="7"/>
        <v>6</v>
      </c>
      <c r="U6" s="107">
        <f t="shared" si="8"/>
        <v>22</v>
      </c>
      <c r="V6" s="106">
        <f t="shared" si="9"/>
        <v>-16</v>
      </c>
      <c r="W6" s="2"/>
      <c r="X6" s="2"/>
      <c r="Y6" s="2"/>
      <c r="Z6" s="2"/>
      <c r="AA6" s="21" t="s">
        <v>41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181</v>
      </c>
      <c r="E7" s="40" t="s">
        <v>61</v>
      </c>
      <c r="F7" s="14">
        <v>3.0</v>
      </c>
      <c r="G7" s="76" t="s">
        <v>24</v>
      </c>
      <c r="H7" s="105">
        <v>7.0</v>
      </c>
      <c r="I7" s="40" t="s">
        <v>142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59</v>
      </c>
      <c r="P7" s="106">
        <f t="shared" si="3"/>
        <v>9</v>
      </c>
      <c r="Q7" s="106">
        <f t="shared" si="4"/>
        <v>3</v>
      </c>
      <c r="R7" s="106">
        <f t="shared" si="5"/>
        <v>0</v>
      </c>
      <c r="S7" s="107">
        <f t="shared" si="6"/>
        <v>1</v>
      </c>
      <c r="T7" s="106">
        <f t="shared" si="7"/>
        <v>10</v>
      </c>
      <c r="U7" s="107">
        <f t="shared" si="8"/>
        <v>11</v>
      </c>
      <c r="V7" s="106">
        <f t="shared" si="9"/>
        <v>-1</v>
      </c>
      <c r="W7" s="2"/>
      <c r="X7" s="2"/>
      <c r="Y7" s="2"/>
      <c r="Z7" s="2"/>
      <c r="AA7" s="21" t="s">
        <v>44</v>
      </c>
      <c r="AB7" s="27" t="s">
        <v>142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181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06">
        <f t="shared" si="3"/>
        <v>10</v>
      </c>
      <c r="Q8" s="106">
        <f t="shared" si="4"/>
        <v>3</v>
      </c>
      <c r="R8" s="106">
        <f t="shared" si="5"/>
        <v>1</v>
      </c>
      <c r="S8" s="107">
        <f t="shared" si="6"/>
        <v>0</v>
      </c>
      <c r="T8" s="106">
        <f t="shared" si="7"/>
        <v>10</v>
      </c>
      <c r="U8" s="107">
        <f t="shared" si="8"/>
        <v>5</v>
      </c>
      <c r="V8" s="106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181</v>
      </c>
      <c r="E9" s="40" t="s">
        <v>54</v>
      </c>
      <c r="F9" s="15">
        <v>0.0</v>
      </c>
      <c r="G9" s="76" t="s">
        <v>24</v>
      </c>
      <c r="H9" s="105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2" t="s">
        <v>38</v>
      </c>
      <c r="P9" s="106">
        <f t="shared" si="3"/>
        <v>4</v>
      </c>
      <c r="Q9" s="106">
        <f t="shared" si="4"/>
        <v>1</v>
      </c>
      <c r="R9" s="106">
        <f t="shared" si="5"/>
        <v>1</v>
      </c>
      <c r="S9" s="107">
        <f t="shared" si="6"/>
        <v>1</v>
      </c>
      <c r="T9" s="106">
        <f t="shared" si="7"/>
        <v>4</v>
      </c>
      <c r="U9" s="107">
        <f t="shared" si="8"/>
        <v>3</v>
      </c>
      <c r="V9" s="106">
        <f t="shared" si="9"/>
        <v>1</v>
      </c>
      <c r="W9" s="2"/>
      <c r="X9" s="2"/>
      <c r="Y9" s="2"/>
      <c r="Z9" s="2"/>
      <c r="AA9" s="21">
        <v>7.0</v>
      </c>
      <c r="AB9" s="27" t="s">
        <v>111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147</v>
      </c>
      <c r="D10" s="12" t="s">
        <v>181</v>
      </c>
      <c r="E10" s="40" t="s">
        <v>59</v>
      </c>
      <c r="F10" s="15">
        <v>1.0</v>
      </c>
      <c r="G10" s="76" t="s">
        <v>24</v>
      </c>
      <c r="H10" s="105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2" t="s">
        <v>23</v>
      </c>
      <c r="P10" s="106">
        <f t="shared" si="3"/>
        <v>7</v>
      </c>
      <c r="Q10" s="106">
        <f t="shared" si="4"/>
        <v>2</v>
      </c>
      <c r="R10" s="106">
        <f t="shared" si="5"/>
        <v>1</v>
      </c>
      <c r="S10" s="107">
        <f t="shared" si="6"/>
        <v>0</v>
      </c>
      <c r="T10" s="106">
        <f t="shared" si="7"/>
        <v>8</v>
      </c>
      <c r="U10" s="107">
        <f t="shared" si="8"/>
        <v>3</v>
      </c>
      <c r="V10" s="106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182</v>
      </c>
      <c r="D11" s="12" t="s">
        <v>181</v>
      </c>
      <c r="E11" s="40" t="s">
        <v>38</v>
      </c>
      <c r="F11" s="15">
        <v>3.0</v>
      </c>
      <c r="G11" s="76" t="s">
        <v>24</v>
      </c>
      <c r="H11" s="105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37</v>
      </c>
      <c r="P11" s="106">
        <f t="shared" si="3"/>
        <v>0</v>
      </c>
      <c r="Q11" s="106">
        <f t="shared" si="4"/>
        <v>0</v>
      </c>
      <c r="R11" s="106">
        <f t="shared" si="5"/>
        <v>0</v>
      </c>
      <c r="S11" s="107">
        <f t="shared" si="6"/>
        <v>3</v>
      </c>
      <c r="T11" s="106">
        <f t="shared" si="7"/>
        <v>1</v>
      </c>
      <c r="U11" s="107">
        <f t="shared" si="8"/>
        <v>7</v>
      </c>
      <c r="V11" s="106">
        <f t="shared" si="9"/>
        <v>-6</v>
      </c>
      <c r="W11" s="2"/>
      <c r="X11" s="2"/>
      <c r="Y11" s="2"/>
      <c r="Z11" s="2"/>
      <c r="AA11" s="96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183</v>
      </c>
      <c r="D12" s="12" t="s">
        <v>181</v>
      </c>
      <c r="E12" s="40" t="s">
        <v>37</v>
      </c>
      <c r="F12" s="14">
        <v>0.0</v>
      </c>
      <c r="G12" s="76" t="s">
        <v>24</v>
      </c>
      <c r="H12" s="105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2" t="s">
        <v>40</v>
      </c>
      <c r="P12" s="106">
        <f t="shared" si="3"/>
        <v>3</v>
      </c>
      <c r="Q12" s="106">
        <f t="shared" si="4"/>
        <v>1</v>
      </c>
      <c r="R12" s="106">
        <f t="shared" si="5"/>
        <v>0</v>
      </c>
      <c r="S12" s="107">
        <f t="shared" si="6"/>
        <v>3</v>
      </c>
      <c r="T12" s="106">
        <f t="shared" si="7"/>
        <v>4</v>
      </c>
      <c r="U12" s="107">
        <f t="shared" si="8"/>
        <v>8</v>
      </c>
      <c r="V12" s="106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184</v>
      </c>
      <c r="D13" s="12" t="s">
        <v>181</v>
      </c>
      <c r="E13" s="40" t="s">
        <v>142</v>
      </c>
      <c r="F13" s="14">
        <v>2.0</v>
      </c>
      <c r="G13" s="76" t="s">
        <v>24</v>
      </c>
      <c r="H13" s="105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2" t="s">
        <v>142</v>
      </c>
      <c r="P13" s="106">
        <f t="shared" si="3"/>
        <v>7</v>
      </c>
      <c r="Q13" s="106">
        <f t="shared" si="4"/>
        <v>2</v>
      </c>
      <c r="R13" s="106">
        <f t="shared" si="5"/>
        <v>1</v>
      </c>
      <c r="S13" s="107">
        <f t="shared" si="6"/>
        <v>1</v>
      </c>
      <c r="T13" s="106">
        <f t="shared" si="7"/>
        <v>14</v>
      </c>
      <c r="U13" s="107">
        <f t="shared" si="8"/>
        <v>9</v>
      </c>
      <c r="V13" s="106">
        <f t="shared" si="9"/>
        <v>5</v>
      </c>
      <c r="W13" s="2"/>
      <c r="X13" s="2"/>
      <c r="Y13" s="2"/>
      <c r="Z13" s="2"/>
      <c r="AA13" s="70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148</v>
      </c>
      <c r="D14" s="12" t="s">
        <v>181</v>
      </c>
      <c r="E14" s="40" t="s">
        <v>33</v>
      </c>
      <c r="F14" s="14">
        <v>6.0</v>
      </c>
      <c r="G14" s="76" t="s">
        <v>24</v>
      </c>
      <c r="H14" s="105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2" t="s">
        <v>111</v>
      </c>
      <c r="P14" s="106">
        <f t="shared" si="3"/>
        <v>6</v>
      </c>
      <c r="Q14" s="106">
        <f t="shared" si="4"/>
        <v>2</v>
      </c>
      <c r="R14" s="106">
        <f t="shared" si="5"/>
        <v>0</v>
      </c>
      <c r="S14" s="107">
        <f t="shared" si="6"/>
        <v>2</v>
      </c>
      <c r="T14" s="106">
        <f t="shared" si="7"/>
        <v>8</v>
      </c>
      <c r="U14" s="107">
        <f t="shared" si="8"/>
        <v>7</v>
      </c>
      <c r="V14" s="106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181</v>
      </c>
      <c r="E15" s="40" t="s">
        <v>54</v>
      </c>
      <c r="F15" s="14">
        <v>1.0</v>
      </c>
      <c r="G15" s="76" t="s">
        <v>24</v>
      </c>
      <c r="H15" s="105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185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181</v>
      </c>
      <c r="E16" s="40" t="s">
        <v>114</v>
      </c>
      <c r="F16" s="14">
        <v>1.0</v>
      </c>
      <c r="G16" s="76" t="s">
        <v>24</v>
      </c>
      <c r="H16" s="105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181</v>
      </c>
      <c r="E17" s="40" t="s">
        <v>40</v>
      </c>
      <c r="F17" s="14">
        <v>1.0</v>
      </c>
      <c r="G17" s="76" t="s">
        <v>24</v>
      </c>
      <c r="H17" s="105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182</v>
      </c>
      <c r="D18" s="12" t="s">
        <v>181</v>
      </c>
      <c r="E18" s="40" t="s">
        <v>23</v>
      </c>
      <c r="F18" s="14">
        <v>3.0</v>
      </c>
      <c r="G18" s="76" t="s">
        <v>24</v>
      </c>
      <c r="H18" s="105">
        <v>2.0</v>
      </c>
      <c r="I18" s="40" t="s">
        <v>142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183</v>
      </c>
      <c r="D19" s="12" t="s">
        <v>181</v>
      </c>
      <c r="E19" s="40" t="s">
        <v>25</v>
      </c>
      <c r="F19" s="14">
        <v>2.0</v>
      </c>
      <c r="G19" s="76" t="s">
        <v>24</v>
      </c>
      <c r="H19" s="105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184</v>
      </c>
      <c r="D20" s="12" t="s">
        <v>181</v>
      </c>
      <c r="E20" s="40" t="s">
        <v>111</v>
      </c>
      <c r="F20" s="14">
        <v>5.0</v>
      </c>
      <c r="G20" s="76" t="s">
        <v>24</v>
      </c>
      <c r="H20" s="105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0">
        <v>46000.0</v>
      </c>
      <c r="C21" s="12" t="s">
        <v>95</v>
      </c>
      <c r="D21" s="12" t="s">
        <v>181</v>
      </c>
      <c r="E21" s="40" t="s">
        <v>59</v>
      </c>
      <c r="F21" s="14">
        <v>4.0</v>
      </c>
      <c r="G21" s="76" t="s">
        <v>24</v>
      </c>
      <c r="H21" s="105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181</v>
      </c>
      <c r="E22" s="40" t="s">
        <v>38</v>
      </c>
      <c r="F22" s="76"/>
      <c r="G22" s="76" t="s">
        <v>24</v>
      </c>
      <c r="H22" s="111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181</v>
      </c>
      <c r="E23" s="40" t="s">
        <v>37</v>
      </c>
      <c r="F23" s="76"/>
      <c r="G23" s="76" t="s">
        <v>24</v>
      </c>
      <c r="H23" s="111"/>
      <c r="I23" s="40" t="s">
        <v>114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0">
        <v>46000.0</v>
      </c>
      <c r="C24" s="59" t="s">
        <v>103</v>
      </c>
      <c r="D24" s="12" t="s">
        <v>181</v>
      </c>
      <c r="E24" s="40" t="s">
        <v>142</v>
      </c>
      <c r="F24" s="14">
        <v>3.0</v>
      </c>
      <c r="G24" s="76" t="s">
        <v>24</v>
      </c>
      <c r="H24" s="105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181</v>
      </c>
      <c r="E25" s="40" t="s">
        <v>33</v>
      </c>
      <c r="F25" s="76"/>
      <c r="G25" s="76" t="s">
        <v>24</v>
      </c>
      <c r="H25" s="111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0">
        <v>46000.0</v>
      </c>
      <c r="C26" s="12" t="s">
        <v>99</v>
      </c>
      <c r="D26" s="12" t="s">
        <v>181</v>
      </c>
      <c r="E26" s="40" t="s">
        <v>61</v>
      </c>
      <c r="F26" s="14">
        <v>1.0</v>
      </c>
      <c r="G26" s="76" t="s">
        <v>24</v>
      </c>
      <c r="H26" s="105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2"/>
      <c r="E27" s="40" t="s">
        <v>59</v>
      </c>
      <c r="F27" s="76"/>
      <c r="G27" s="76" t="s">
        <v>24</v>
      </c>
      <c r="H27" s="111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2"/>
      <c r="E28" s="40" t="s">
        <v>54</v>
      </c>
      <c r="F28" s="76"/>
      <c r="G28" s="76" t="s">
        <v>24</v>
      </c>
      <c r="H28" s="111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2"/>
      <c r="E29" s="40" t="s">
        <v>114</v>
      </c>
      <c r="F29" s="76"/>
      <c r="G29" s="76" t="s">
        <v>24</v>
      </c>
      <c r="H29" s="111"/>
      <c r="I29" s="40" t="s">
        <v>142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2"/>
      <c r="E30" s="40" t="s">
        <v>40</v>
      </c>
      <c r="F30" s="76"/>
      <c r="G30" s="76" t="s">
        <v>24</v>
      </c>
      <c r="H30" s="111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2"/>
      <c r="E31" s="40" t="s">
        <v>23</v>
      </c>
      <c r="F31" s="76"/>
      <c r="G31" s="76" t="s">
        <v>24</v>
      </c>
      <c r="H31" s="111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2"/>
      <c r="E32" s="40" t="s">
        <v>111</v>
      </c>
      <c r="F32" s="76"/>
      <c r="G32" s="76" t="s">
        <v>24</v>
      </c>
      <c r="H32" s="111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1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1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142</v>
      </c>
      <c r="F35" s="76"/>
      <c r="G35" s="76" t="s">
        <v>24</v>
      </c>
      <c r="H35" s="111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1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1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1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2"/>
      <c r="E39" s="40" t="s">
        <v>38</v>
      </c>
      <c r="F39" s="76"/>
      <c r="G39" s="76" t="s">
        <v>24</v>
      </c>
      <c r="H39" s="111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2"/>
      <c r="E40" s="40" t="s">
        <v>59</v>
      </c>
      <c r="F40" s="76"/>
      <c r="G40" s="76" t="s">
        <v>24</v>
      </c>
      <c r="H40" s="111"/>
      <c r="I40" s="40" t="s">
        <v>142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2"/>
      <c r="E41" s="40" t="s">
        <v>54</v>
      </c>
      <c r="F41" s="76"/>
      <c r="G41" s="76" t="s">
        <v>24</v>
      </c>
      <c r="H41" s="111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2"/>
      <c r="E42" s="40" t="s">
        <v>114</v>
      </c>
      <c r="F42" s="76"/>
      <c r="G42" s="76" t="s">
        <v>24</v>
      </c>
      <c r="H42" s="111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2"/>
      <c r="E43" s="40" t="s">
        <v>40</v>
      </c>
      <c r="F43" s="76"/>
      <c r="G43" s="76" t="s">
        <v>24</v>
      </c>
      <c r="H43" s="111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2"/>
      <c r="E44" s="40" t="s">
        <v>111</v>
      </c>
      <c r="F44" s="76"/>
      <c r="G44" s="76" t="s">
        <v>24</v>
      </c>
      <c r="H44" s="111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1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142</v>
      </c>
      <c r="F46" s="76"/>
      <c r="G46" s="76" t="s">
        <v>24</v>
      </c>
      <c r="H46" s="111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1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1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1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1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2"/>
      <c r="E51" s="40" t="s">
        <v>37</v>
      </c>
      <c r="F51" s="76"/>
      <c r="G51" s="76" t="s">
        <v>24</v>
      </c>
      <c r="H51" s="111"/>
      <c r="I51" s="40" t="s">
        <v>142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2"/>
      <c r="E52" s="40" t="s">
        <v>38</v>
      </c>
      <c r="F52" s="76"/>
      <c r="G52" s="76" t="s">
        <v>24</v>
      </c>
      <c r="H52" s="111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2"/>
      <c r="E53" s="40" t="s">
        <v>59</v>
      </c>
      <c r="F53" s="76"/>
      <c r="G53" s="76" t="s">
        <v>24</v>
      </c>
      <c r="H53" s="111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2"/>
      <c r="E54" s="40" t="s">
        <v>54</v>
      </c>
      <c r="F54" s="76"/>
      <c r="G54" s="76" t="s">
        <v>24</v>
      </c>
      <c r="H54" s="111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2"/>
      <c r="E55" s="40" t="s">
        <v>114</v>
      </c>
      <c r="F55" s="76"/>
      <c r="G55" s="76" t="s">
        <v>24</v>
      </c>
      <c r="H55" s="111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2"/>
      <c r="E56" s="40" t="s">
        <v>111</v>
      </c>
      <c r="F56" s="76"/>
      <c r="G56" s="76" t="s">
        <v>24</v>
      </c>
      <c r="H56" s="111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2"/>
      <c r="E57" s="40" t="s">
        <v>111</v>
      </c>
      <c r="F57" s="30"/>
      <c r="G57" s="76" t="s">
        <v>24</v>
      </c>
      <c r="H57" s="111"/>
      <c r="I57" s="40" t="s">
        <v>142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2"/>
      <c r="E58" s="40" t="s">
        <v>33</v>
      </c>
      <c r="F58" s="16"/>
      <c r="G58" s="76" t="s">
        <v>24</v>
      </c>
      <c r="H58" s="111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2"/>
      <c r="E59" s="40" t="s">
        <v>61</v>
      </c>
      <c r="F59" s="30"/>
      <c r="G59" s="76" t="s">
        <v>24</v>
      </c>
      <c r="H59" s="111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2"/>
      <c r="E60" s="40" t="s">
        <v>25</v>
      </c>
      <c r="F60" s="30"/>
      <c r="G60" s="76" t="s">
        <v>24</v>
      </c>
      <c r="H60" s="111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2"/>
      <c r="E61" s="40" t="s">
        <v>23</v>
      </c>
      <c r="F61" s="30"/>
      <c r="G61" s="76" t="s">
        <v>24</v>
      </c>
      <c r="H61" s="111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2"/>
      <c r="E62" s="40" t="s">
        <v>40</v>
      </c>
      <c r="F62" s="30"/>
      <c r="G62" s="76" t="s">
        <v>24</v>
      </c>
      <c r="H62" s="111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142</v>
      </c>
      <c r="F63" s="76"/>
      <c r="G63" s="76" t="s">
        <v>24</v>
      </c>
      <c r="H63" s="111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1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1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1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1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5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186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8">
        <v>45952.0</v>
      </c>
      <c r="C75" s="59" t="s">
        <v>51</v>
      </c>
      <c r="D75" s="59" t="s">
        <v>181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187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187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>
        <v>45952.0</v>
      </c>
      <c r="C76" s="59" t="s">
        <v>95</v>
      </c>
      <c r="D76" s="59" t="s">
        <v>181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6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8">
        <v>45950.0</v>
      </c>
      <c r="C77" s="59" t="s">
        <v>95</v>
      </c>
      <c r="D77" s="59" t="s">
        <v>181</v>
      </c>
      <c r="E77" s="40" t="s">
        <v>42</v>
      </c>
      <c r="F77" s="79">
        <v>1.0</v>
      </c>
      <c r="G77" s="76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8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42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8">
        <v>45979.0</v>
      </c>
      <c r="C79" s="12" t="s">
        <v>99</v>
      </c>
      <c r="D79" s="59" t="s">
        <v>181</v>
      </c>
      <c r="E79" s="14" t="s">
        <v>187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42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187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8"/>
      <c r="C80" s="12"/>
      <c r="D80" s="59" t="s">
        <v>181</v>
      </c>
      <c r="E80" s="40" t="s">
        <v>123</v>
      </c>
      <c r="F80" s="16"/>
      <c r="G80" s="76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103</v>
      </c>
      <c r="D81" s="59" t="s">
        <v>181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42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99</v>
      </c>
      <c r="D82" s="59" t="s">
        <v>181</v>
      </c>
      <c r="E82" s="14" t="s">
        <v>96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181</v>
      </c>
      <c r="E83" s="14" t="s">
        <v>42</v>
      </c>
      <c r="F83" s="15">
        <v>3.0</v>
      </c>
      <c r="G83" s="76" t="s">
        <v>24</v>
      </c>
      <c r="H83" s="79">
        <v>3.0</v>
      </c>
      <c r="I83" s="14" t="s">
        <v>187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188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181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146</v>
      </c>
      <c r="D85" s="59" t="s">
        <v>181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146</v>
      </c>
      <c r="D86" s="59" t="s">
        <v>181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2"/>
      <c r="E87" s="14" t="s">
        <v>187</v>
      </c>
      <c r="F87" s="113"/>
      <c r="G87" s="76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2"/>
      <c r="E88" s="14" t="s">
        <v>57</v>
      </c>
      <c r="F88" s="113"/>
      <c r="G88" s="76" t="s">
        <v>24</v>
      </c>
      <c r="H88" s="113"/>
      <c r="I88" s="14" t="s">
        <v>42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181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5"/>
      <c r="C90" s="16"/>
      <c r="D90" s="16"/>
      <c r="E90" s="14" t="s">
        <v>45</v>
      </c>
      <c r="F90" s="113"/>
      <c r="G90" s="76" t="s">
        <v>24</v>
      </c>
      <c r="H90" s="113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6">
        <v>5.0</v>
      </c>
      <c r="B91" s="29"/>
      <c r="C91" s="16"/>
      <c r="D91" s="16"/>
      <c r="E91" s="14" t="s">
        <v>96</v>
      </c>
      <c r="F91" s="113"/>
      <c r="G91" s="76" t="s">
        <v>24</v>
      </c>
      <c r="H91" s="113"/>
      <c r="I91" s="14" t="s">
        <v>187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6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42</v>
      </c>
      <c r="F93" s="113"/>
      <c r="G93" s="76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6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5"/>
      <c r="C95" s="16"/>
      <c r="D95" s="112"/>
      <c r="E95" s="14" t="s">
        <v>187</v>
      </c>
      <c r="F95" s="113"/>
      <c r="G95" s="76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5"/>
      <c r="C96" s="16"/>
      <c r="D96" s="112"/>
      <c r="E96" s="14" t="s">
        <v>57</v>
      </c>
      <c r="F96" s="113"/>
      <c r="G96" s="76" t="s">
        <v>24</v>
      </c>
      <c r="H96" s="113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5"/>
      <c r="C97" s="16"/>
      <c r="D97" s="112"/>
      <c r="E97" s="14" t="s">
        <v>32</v>
      </c>
      <c r="F97" s="113"/>
      <c r="G97" s="76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181</v>
      </c>
      <c r="E98" s="40" t="s">
        <v>42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5"/>
      <c r="C99" s="16"/>
      <c r="D99" s="112"/>
      <c r="E99" s="40" t="s">
        <v>123</v>
      </c>
      <c r="F99" s="113"/>
      <c r="G99" s="76" t="s">
        <v>24</v>
      </c>
      <c r="H99" s="113"/>
      <c r="I99" s="40" t="s">
        <v>187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5"/>
      <c r="C100" s="16"/>
      <c r="D100" s="112"/>
      <c r="E100" s="40" t="s">
        <v>45</v>
      </c>
      <c r="F100" s="113"/>
      <c r="G100" s="76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5"/>
      <c r="C101" s="16"/>
      <c r="D101" s="112"/>
      <c r="E101" s="14" t="s">
        <v>96</v>
      </c>
      <c r="F101" s="113"/>
      <c r="G101" s="76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5"/>
      <c r="C102" s="16"/>
      <c r="D102" s="112"/>
      <c r="E102" s="14" t="s">
        <v>121</v>
      </c>
      <c r="F102" s="113"/>
      <c r="G102" s="76" t="s">
        <v>24</v>
      </c>
      <c r="H102" s="113"/>
      <c r="I102" s="14" t="s">
        <v>42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189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8">
        <v>45953.0</v>
      </c>
      <c r="C111" s="59" t="s">
        <v>95</v>
      </c>
      <c r="D111" s="59" t="s">
        <v>181</v>
      </c>
      <c r="E111" s="14" t="s">
        <v>43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8">
        <v>45953.0</v>
      </c>
      <c r="C112" s="59" t="s">
        <v>99</v>
      </c>
      <c r="D112" s="59" t="s">
        <v>181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43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6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8">
        <v>45953.0</v>
      </c>
      <c r="C113" s="59" t="s">
        <v>103</v>
      </c>
      <c r="D113" s="59" t="s">
        <v>181</v>
      </c>
      <c r="E113" s="14" t="s">
        <v>143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8">
        <v>45950.0</v>
      </c>
      <c r="C114" s="59" t="s">
        <v>99</v>
      </c>
      <c r="D114" s="59" t="s">
        <v>181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161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143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161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2"/>
      <c r="E115" s="14" t="s">
        <v>55</v>
      </c>
      <c r="F115" s="113"/>
      <c r="G115" s="76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8">
        <v>45971.0</v>
      </c>
      <c r="C116" s="12" t="s">
        <v>99</v>
      </c>
      <c r="D116" s="59" t="s">
        <v>181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9"/>
      <c r="C117" s="100"/>
      <c r="D117" s="82"/>
      <c r="E117" s="14">
        <v>0.0</v>
      </c>
      <c r="F117" s="16"/>
      <c r="G117" s="76" t="s">
        <v>24</v>
      </c>
      <c r="H117" s="113"/>
      <c r="I117" s="14" t="s">
        <v>43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161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8">
        <v>45965.0</v>
      </c>
      <c r="C118" s="59" t="s">
        <v>95</v>
      </c>
      <c r="D118" s="59" t="s">
        <v>181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143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8">
        <v>45972.0</v>
      </c>
      <c r="C119" s="12" t="s">
        <v>95</v>
      </c>
      <c r="D119" s="59" t="s">
        <v>181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43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8">
        <v>45965.0</v>
      </c>
      <c r="C120" s="59" t="s">
        <v>99</v>
      </c>
      <c r="D120" s="59" t="s">
        <v>181</v>
      </c>
      <c r="E120" s="14" t="s">
        <v>161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7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190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181</v>
      </c>
      <c r="E121" s="14" t="s">
        <v>143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181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43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181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181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2"/>
      <c r="E125" s="40">
        <v>0.0</v>
      </c>
      <c r="F125" s="113"/>
      <c r="G125" s="76" t="s">
        <v>24</v>
      </c>
      <c r="H125" s="113"/>
      <c r="I125" s="40" t="s">
        <v>161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181</v>
      </c>
      <c r="E126" s="14" t="s">
        <v>62</v>
      </c>
      <c r="F126" s="113"/>
      <c r="G126" s="76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191</v>
      </c>
      <c r="D127" s="59" t="s">
        <v>181</v>
      </c>
      <c r="E127" s="14" t="s">
        <v>43</v>
      </c>
      <c r="F127" s="79">
        <v>0.0</v>
      </c>
      <c r="G127" s="76" t="s">
        <v>24</v>
      </c>
      <c r="H127" s="79">
        <v>8.0</v>
      </c>
      <c r="I127" s="14" t="s">
        <v>143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9"/>
      <c r="C128" s="82"/>
      <c r="D128" s="59" t="s">
        <v>181</v>
      </c>
      <c r="E128" s="14" t="s">
        <v>56</v>
      </c>
      <c r="F128" s="113"/>
      <c r="G128" s="76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141</v>
      </c>
      <c r="D129" s="59" t="s">
        <v>181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181</v>
      </c>
      <c r="E130" s="40" t="s">
        <v>60</v>
      </c>
      <c r="F130" s="113"/>
      <c r="G130" s="76" t="s">
        <v>24</v>
      </c>
      <c r="H130" s="113"/>
      <c r="I130" s="40" t="s">
        <v>161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5"/>
      <c r="C131" s="16"/>
      <c r="D131" s="112"/>
      <c r="E131" s="14" t="s">
        <v>55</v>
      </c>
      <c r="F131" s="113"/>
      <c r="G131" s="76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5"/>
      <c r="C132" s="16"/>
      <c r="D132" s="112"/>
      <c r="E132" s="14" t="s">
        <v>31</v>
      </c>
      <c r="F132" s="113"/>
      <c r="G132" s="76" t="s">
        <v>24</v>
      </c>
      <c r="H132" s="113"/>
      <c r="I132" s="14" t="s">
        <v>43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5"/>
      <c r="C133" s="16"/>
      <c r="D133" s="112"/>
      <c r="E133" s="14" t="s">
        <v>143</v>
      </c>
      <c r="F133" s="113"/>
      <c r="G133" s="76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5"/>
      <c r="C134" s="16"/>
      <c r="D134" s="112"/>
      <c r="E134" s="40" t="s">
        <v>161</v>
      </c>
      <c r="F134" s="113"/>
      <c r="G134" s="76" t="s">
        <v>24</v>
      </c>
      <c r="H134" s="113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5"/>
      <c r="C135" s="30"/>
      <c r="D135" s="112"/>
      <c r="E135" s="40">
        <v>0.0</v>
      </c>
      <c r="F135" s="113"/>
      <c r="G135" s="76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5"/>
      <c r="C136" s="16"/>
      <c r="D136" s="112"/>
      <c r="E136" s="40" t="s">
        <v>62</v>
      </c>
      <c r="F136" s="113"/>
      <c r="G136" s="76" t="s">
        <v>24</v>
      </c>
      <c r="H136" s="113"/>
      <c r="I136" s="40" t="s">
        <v>161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5"/>
      <c r="C137" s="16"/>
      <c r="D137" s="112"/>
      <c r="E137" s="14" t="s">
        <v>43</v>
      </c>
      <c r="F137" s="113"/>
      <c r="G137" s="76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5"/>
      <c r="C138" s="16"/>
      <c r="D138" s="112"/>
      <c r="E138" s="14" t="s">
        <v>56</v>
      </c>
      <c r="F138" s="113"/>
      <c r="G138" s="76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5"/>
      <c r="C139" s="16"/>
      <c r="D139" s="112"/>
      <c r="E139" s="14" t="s">
        <v>143</v>
      </c>
      <c r="F139" s="113"/>
      <c r="G139" s="76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5"/>
      <c r="C140" s="16"/>
      <c r="D140" s="112"/>
      <c r="E140" s="14" t="s">
        <v>113</v>
      </c>
      <c r="F140" s="113"/>
      <c r="G140" s="76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5"/>
      <c r="C141" s="16"/>
      <c r="D141" s="112"/>
      <c r="E141" s="14" t="s">
        <v>60</v>
      </c>
      <c r="F141" s="113"/>
      <c r="G141" s="76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5"/>
      <c r="C142" s="16"/>
      <c r="D142" s="112"/>
      <c r="E142" s="14" t="s">
        <v>161</v>
      </c>
      <c r="F142" s="113"/>
      <c r="G142" s="76" t="s">
        <v>24</v>
      </c>
      <c r="H142" s="113"/>
      <c r="I142" s="14" t="s">
        <v>43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5"/>
      <c r="C143" s="16"/>
      <c r="D143" s="112"/>
      <c r="E143" s="14" t="s">
        <v>55</v>
      </c>
      <c r="F143" s="113"/>
      <c r="G143" s="76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5"/>
      <c r="C144" s="16"/>
      <c r="D144" s="112"/>
      <c r="E144" s="14" t="s">
        <v>31</v>
      </c>
      <c r="F144" s="113"/>
      <c r="G144" s="76" t="s">
        <v>24</v>
      </c>
      <c r="H144" s="113"/>
      <c r="I144" s="14" t="s">
        <v>143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2"/>
      <c r="E145" s="14">
        <v>0.0</v>
      </c>
      <c r="F145" s="113"/>
      <c r="G145" s="76" t="s">
        <v>24</v>
      </c>
      <c r="H145" s="113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2"/>
      <c r="E146" s="14" t="s">
        <v>62</v>
      </c>
      <c r="F146" s="113"/>
      <c r="G146" s="76" t="s">
        <v>24</v>
      </c>
      <c r="H146" s="113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2"/>
      <c r="E147" s="14" t="s">
        <v>43</v>
      </c>
      <c r="F147" s="113"/>
      <c r="G147" s="76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2"/>
      <c r="E148" s="14" t="s">
        <v>56</v>
      </c>
      <c r="F148" s="113"/>
      <c r="G148" s="76" t="s">
        <v>24</v>
      </c>
      <c r="H148" s="113"/>
      <c r="I148" s="14" t="s">
        <v>161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5"/>
      <c r="C149" s="16"/>
      <c r="D149" s="112"/>
      <c r="E149" s="14" t="s">
        <v>143</v>
      </c>
      <c r="F149" s="113"/>
      <c r="G149" s="76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2"/>
      <c r="E150" s="14" t="s">
        <v>31</v>
      </c>
      <c r="F150" s="113"/>
      <c r="G150" s="76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2"/>
      <c r="E151" s="14">
        <v>0.0</v>
      </c>
      <c r="F151" s="113"/>
      <c r="G151" s="76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5"/>
      <c r="C152" s="16"/>
      <c r="D152" s="112"/>
      <c r="E152" s="14" t="s">
        <v>113</v>
      </c>
      <c r="F152" s="113"/>
      <c r="G152" s="76" t="s">
        <v>24</v>
      </c>
      <c r="H152" s="113"/>
      <c r="I152" s="14" t="s">
        <v>43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5"/>
      <c r="C153" s="16"/>
      <c r="D153" s="112"/>
      <c r="E153" s="14" t="s">
        <v>60</v>
      </c>
      <c r="F153" s="113"/>
      <c r="G153" s="76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5"/>
      <c r="C154" s="16"/>
      <c r="D154" s="112"/>
      <c r="E154" s="14" t="s">
        <v>161</v>
      </c>
      <c r="F154" s="113"/>
      <c r="G154" s="76" t="s">
        <v>24</v>
      </c>
      <c r="H154" s="113"/>
      <c r="I154" s="14" t="s">
        <v>143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5"/>
      <c r="C155" s="16"/>
      <c r="D155" s="112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192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193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8" t="s">
        <v>194</v>
      </c>
      <c r="I1" s="119"/>
      <c r="AA1" s="3"/>
      <c r="AB1" s="119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0"/>
      <c r="K3" s="121">
        <f t="shared" ref="K3:K68" si="1">IFS(F3=H3+2,3,F3=H3-2,0,F3=H3+1,2,F3=H3-1,1,F3="","")</f>
        <v>1</v>
      </c>
      <c r="L3" s="122">
        <f t="shared" ref="L3:L68" si="2">IFS(H3=F3+2,3,H3=F3-2,0,H3=F3+1,2,H3=F3-1,1,H3="","")</f>
        <v>2</v>
      </c>
      <c r="M3" s="120"/>
      <c r="N3" s="122">
        <v>1.0</v>
      </c>
      <c r="O3" s="123" t="s">
        <v>23</v>
      </c>
      <c r="P3" s="122">
        <f t="shared" ref="P3:P14" si="3">SUMIF(E$3:E$68,O3,K$3:K$68)+SUMIF(I$3:I$68,O3,L$3:L$68)</f>
        <v>12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9</v>
      </c>
      <c r="U3" s="125">
        <f t="shared" ref="U3:U14" si="7">SUMIF(E$3:E$68,O3,H$3:H$68)+SUMIF(I$3:I$68,O3,F$3:F$68)</f>
        <v>3</v>
      </c>
      <c r="V3" s="122">
        <f t="shared" ref="V3:V14" si="8">T3-U3</f>
        <v>6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161</v>
      </c>
      <c r="P4" s="122">
        <f t="shared" si="3"/>
        <v>9</v>
      </c>
      <c r="Q4" s="124">
        <f t="shared" si="4"/>
        <v>3</v>
      </c>
      <c r="R4" s="124"/>
      <c r="S4" s="125">
        <f t="shared" si="5"/>
        <v>2</v>
      </c>
      <c r="T4" s="122">
        <f t="shared" si="6"/>
        <v>6</v>
      </c>
      <c r="U4" s="125">
        <f t="shared" si="7"/>
        <v>4</v>
      </c>
      <c r="V4" s="122">
        <f t="shared" si="8"/>
        <v>2</v>
      </c>
      <c r="X4" s="109" t="s">
        <v>61</v>
      </c>
      <c r="Y4" s="109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6" t="s">
        <v>32</v>
      </c>
      <c r="F5" s="13">
        <v>0.0</v>
      </c>
      <c r="G5" s="30" t="s">
        <v>24</v>
      </c>
      <c r="H5" s="13">
        <v>2.0</v>
      </c>
      <c r="I5" s="14" t="s">
        <v>187</v>
      </c>
      <c r="J5" s="120"/>
      <c r="K5" s="121">
        <f t="shared" si="1"/>
        <v>0</v>
      </c>
      <c r="L5" s="122">
        <f t="shared" si="2"/>
        <v>3</v>
      </c>
      <c r="M5" s="120"/>
      <c r="N5" s="122">
        <v>3.0</v>
      </c>
      <c r="O5" s="123" t="s">
        <v>25</v>
      </c>
      <c r="P5" s="122">
        <f t="shared" si="3"/>
        <v>12</v>
      </c>
      <c r="Q5" s="124">
        <f t="shared" si="4"/>
        <v>4</v>
      </c>
      <c r="R5" s="124"/>
      <c r="S5" s="125">
        <f t="shared" si="5"/>
        <v>1</v>
      </c>
      <c r="T5" s="122">
        <f t="shared" si="6"/>
        <v>9</v>
      </c>
      <c r="U5" s="125">
        <f t="shared" si="7"/>
        <v>3</v>
      </c>
      <c r="V5" s="122">
        <f t="shared" si="8"/>
        <v>6</v>
      </c>
      <c r="X5" s="109" t="s">
        <v>31</v>
      </c>
      <c r="Y5" s="109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42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114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41</v>
      </c>
      <c r="AB6" s="63" t="s">
        <v>161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116</v>
      </c>
      <c r="P7" s="122">
        <f t="shared" si="3"/>
        <v>7</v>
      </c>
      <c r="Q7" s="124">
        <f t="shared" si="4"/>
        <v>2</v>
      </c>
      <c r="R7" s="124"/>
      <c r="S7" s="125">
        <f t="shared" si="5"/>
        <v>3</v>
      </c>
      <c r="T7" s="122">
        <f t="shared" si="6"/>
        <v>5</v>
      </c>
      <c r="U7" s="125">
        <f t="shared" si="7"/>
        <v>6</v>
      </c>
      <c r="V7" s="122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161</v>
      </c>
      <c r="J8" s="120"/>
      <c r="K8" s="121">
        <f t="shared" si="1"/>
        <v>3</v>
      </c>
      <c r="L8" s="122">
        <f t="shared" si="2"/>
        <v>0</v>
      </c>
      <c r="M8" s="120"/>
      <c r="N8" s="122">
        <v>6.0</v>
      </c>
      <c r="O8" s="123" t="s">
        <v>37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116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187</v>
      </c>
      <c r="P9" s="122">
        <f t="shared" si="3"/>
        <v>5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7</v>
      </c>
      <c r="V9" s="122">
        <f t="shared" si="8"/>
        <v>-3</v>
      </c>
      <c r="AA9" s="21">
        <v>7.0</v>
      </c>
      <c r="AB9" s="63" t="s">
        <v>114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0"/>
      <c r="K10" s="121">
        <f t="shared" si="1"/>
        <v>0</v>
      </c>
      <c r="L10" s="122">
        <f t="shared" si="2"/>
        <v>3</v>
      </c>
      <c r="M10" s="120"/>
      <c r="N10" s="122">
        <v>8.0</v>
      </c>
      <c r="O10" s="123" t="s">
        <v>32</v>
      </c>
      <c r="P10" s="122">
        <f t="shared" si="3"/>
        <v>3</v>
      </c>
      <c r="Q10" s="124">
        <f t="shared" si="4"/>
        <v>1</v>
      </c>
      <c r="R10" s="124"/>
      <c r="S10" s="125">
        <f t="shared" si="5"/>
        <v>4</v>
      </c>
      <c r="T10" s="122">
        <f t="shared" si="6"/>
        <v>3</v>
      </c>
      <c r="U10" s="125">
        <f t="shared" si="7"/>
        <v>9</v>
      </c>
      <c r="V10" s="122">
        <f t="shared" si="8"/>
        <v>-6</v>
      </c>
      <c r="AA10" s="21">
        <v>8.0</v>
      </c>
      <c r="AB10" s="63" t="s">
        <v>42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187</v>
      </c>
      <c r="F11" s="13">
        <v>0.0</v>
      </c>
      <c r="G11" s="30" t="s">
        <v>24</v>
      </c>
      <c r="H11" s="13">
        <v>2.0</v>
      </c>
      <c r="I11" s="14" t="s">
        <v>31</v>
      </c>
      <c r="J11" s="120"/>
      <c r="K11" s="121">
        <f t="shared" si="1"/>
        <v>0</v>
      </c>
      <c r="L11" s="122">
        <f t="shared" si="2"/>
        <v>3</v>
      </c>
      <c r="M11" s="120"/>
      <c r="N11" s="122">
        <v>9.0</v>
      </c>
      <c r="O11" s="123" t="s">
        <v>42</v>
      </c>
      <c r="P11" s="122">
        <f t="shared" si="3"/>
        <v>6</v>
      </c>
      <c r="Q11" s="124">
        <f t="shared" si="4"/>
        <v>2</v>
      </c>
      <c r="R11" s="124"/>
      <c r="S11" s="125">
        <f t="shared" si="5"/>
        <v>3</v>
      </c>
      <c r="T11" s="122">
        <f t="shared" si="6"/>
        <v>5</v>
      </c>
      <c r="U11" s="125">
        <f t="shared" si="7"/>
        <v>7</v>
      </c>
      <c r="V11" s="122">
        <f t="shared" si="8"/>
        <v>-2</v>
      </c>
      <c r="AA11" s="96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42</v>
      </c>
      <c r="F12" s="13">
        <v>2.0</v>
      </c>
      <c r="G12" s="30" t="s">
        <v>24</v>
      </c>
      <c r="H12" s="13">
        <v>1.0</v>
      </c>
      <c r="I12" s="14" t="s">
        <v>32</v>
      </c>
      <c r="J12" s="120"/>
      <c r="K12" s="121">
        <f t="shared" si="1"/>
        <v>2</v>
      </c>
      <c r="L12" s="122">
        <f t="shared" si="2"/>
        <v>1</v>
      </c>
      <c r="M12" s="120"/>
      <c r="N12" s="122">
        <v>10.0</v>
      </c>
      <c r="O12" s="127" t="s">
        <v>31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3</v>
      </c>
      <c r="T12" s="122">
        <f t="shared" si="6"/>
        <v>4</v>
      </c>
      <c r="U12" s="125">
        <f t="shared" si="7"/>
        <v>6</v>
      </c>
      <c r="V12" s="122">
        <f t="shared" si="8"/>
        <v>-2</v>
      </c>
      <c r="AA12" s="70">
        <v>10.0</v>
      </c>
      <c r="AB12" s="63" t="s">
        <v>187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61</v>
      </c>
      <c r="P13" s="122">
        <f t="shared" si="3"/>
        <v>1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1</v>
      </c>
      <c r="U13" s="125">
        <f t="shared" si="7"/>
        <v>10</v>
      </c>
      <c r="V13" s="122">
        <f t="shared" si="8"/>
        <v>-9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161</v>
      </c>
      <c r="F14" s="13">
        <v>2.0</v>
      </c>
      <c r="G14" s="30" t="s">
        <v>24</v>
      </c>
      <c r="H14" s="13">
        <v>0.0</v>
      </c>
      <c r="I14" s="14" t="s">
        <v>114</v>
      </c>
      <c r="J14" s="120"/>
      <c r="K14" s="121">
        <f t="shared" si="1"/>
        <v>3</v>
      </c>
      <c r="L14" s="122">
        <f t="shared" si="2"/>
        <v>0</v>
      </c>
      <c r="M14" s="120"/>
      <c r="N14" s="129">
        <v>12.0</v>
      </c>
      <c r="O14" s="128" t="s">
        <v>57</v>
      </c>
      <c r="P14" s="122">
        <f t="shared" si="3"/>
        <v>9</v>
      </c>
      <c r="Q14" s="124">
        <f t="shared" si="4"/>
        <v>3</v>
      </c>
      <c r="S14" s="125">
        <f t="shared" si="5"/>
        <v>2</v>
      </c>
      <c r="T14" s="122">
        <f t="shared" si="6"/>
        <v>7</v>
      </c>
      <c r="U14" s="125">
        <f t="shared" si="7"/>
        <v>5</v>
      </c>
      <c r="V14" s="122">
        <f t="shared" si="8"/>
        <v>2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0"/>
      <c r="K15" s="121">
        <f t="shared" si="1"/>
        <v>3</v>
      </c>
      <c r="L15" s="122">
        <f t="shared" si="2"/>
        <v>0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198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187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42</v>
      </c>
      <c r="J17" s="120"/>
      <c r="K17" s="121">
        <f t="shared" si="1"/>
        <v>0</v>
      </c>
      <c r="L17" s="122">
        <f t="shared" si="2"/>
        <v>3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191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1"/>
      <c r="K18" s="121">
        <f t="shared" si="1"/>
        <v>2</v>
      </c>
      <c r="L18" s="122">
        <f t="shared" si="2"/>
        <v>1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161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0"/>
      <c r="K21" s="121">
        <f t="shared" si="1"/>
        <v>3</v>
      </c>
      <c r="L21" s="122">
        <f t="shared" si="2"/>
        <v>0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187</v>
      </c>
      <c r="F22" s="13">
        <v>0.0</v>
      </c>
      <c r="G22" s="30" t="s">
        <v>24</v>
      </c>
      <c r="H22" s="13">
        <v>2.0</v>
      </c>
      <c r="I22" s="14" t="s">
        <v>25</v>
      </c>
      <c r="J22" s="120"/>
      <c r="K22" s="121">
        <f t="shared" si="1"/>
        <v>0</v>
      </c>
      <c r="L22" s="122">
        <f t="shared" si="2"/>
        <v>3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42</v>
      </c>
      <c r="F23" s="13">
        <v>1.0</v>
      </c>
      <c r="G23" s="30" t="s">
        <v>24</v>
      </c>
      <c r="H23" s="13">
        <v>2.0</v>
      </c>
      <c r="I23" s="14" t="s">
        <v>23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161</v>
      </c>
      <c r="F25" s="13">
        <v>2.0</v>
      </c>
      <c r="G25" s="30" t="s">
        <v>24</v>
      </c>
      <c r="H25" s="13">
        <v>0.0</v>
      </c>
      <c r="I25" s="14" t="s">
        <v>32</v>
      </c>
      <c r="J25" s="120"/>
      <c r="K25" s="121">
        <f t="shared" si="1"/>
        <v>3</v>
      </c>
      <c r="L25" s="122">
        <f t="shared" si="2"/>
        <v>0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187</v>
      </c>
      <c r="J27" s="120"/>
      <c r="K27" s="121">
        <f t="shared" si="1"/>
        <v>1</v>
      </c>
      <c r="L27" s="122">
        <f t="shared" si="2"/>
        <v>2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42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161</v>
      </c>
      <c r="J30" s="120"/>
      <c r="K30" s="121">
        <f t="shared" si="1"/>
        <v>0</v>
      </c>
      <c r="L30" s="122">
        <f t="shared" si="2"/>
        <v>3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0"/>
      <c r="K31" s="121">
        <f t="shared" si="1"/>
        <v>0</v>
      </c>
      <c r="L31" s="122">
        <f t="shared" si="2"/>
        <v>3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2"/>
      <c r="C33" s="133"/>
      <c r="D33" s="134"/>
      <c r="E33" s="14" t="s">
        <v>187</v>
      </c>
      <c r="F33" s="30"/>
      <c r="G33" s="30" t="s">
        <v>24</v>
      </c>
      <c r="H33" s="30"/>
      <c r="I33" s="14" t="s">
        <v>57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2"/>
      <c r="C34" s="133"/>
      <c r="D34" s="134"/>
      <c r="E34" s="14" t="s">
        <v>42</v>
      </c>
      <c r="F34" s="30"/>
      <c r="G34" s="30" t="s">
        <v>24</v>
      </c>
      <c r="H34" s="30"/>
      <c r="I34" s="14" t="s">
        <v>116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2"/>
      <c r="C35" s="133"/>
      <c r="D35" s="134"/>
      <c r="E35" s="14" t="s">
        <v>61</v>
      </c>
      <c r="F35" s="30"/>
      <c r="G35" s="30" t="s">
        <v>24</v>
      </c>
      <c r="H35" s="30"/>
      <c r="I35" s="14" t="s">
        <v>25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2"/>
      <c r="C36" s="133"/>
      <c r="D36" s="134"/>
      <c r="E36" s="14" t="s">
        <v>161</v>
      </c>
      <c r="F36" s="30"/>
      <c r="G36" s="30" t="s">
        <v>24</v>
      </c>
      <c r="H36" s="30"/>
      <c r="I36" s="14" t="s">
        <v>23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2"/>
      <c r="C37" s="133"/>
      <c r="D37" s="134"/>
      <c r="E37" s="14" t="s">
        <v>114</v>
      </c>
      <c r="F37" s="30"/>
      <c r="G37" s="30" t="s">
        <v>24</v>
      </c>
      <c r="H37" s="30"/>
      <c r="I37" s="14" t="s">
        <v>31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2"/>
      <c r="C38" s="133"/>
      <c r="D38" s="134"/>
      <c r="E38" s="14" t="s">
        <v>37</v>
      </c>
      <c r="F38" s="30"/>
      <c r="G38" s="30" t="s">
        <v>24</v>
      </c>
      <c r="H38" s="30"/>
      <c r="I38" s="14" t="s">
        <v>32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2"/>
      <c r="C39" s="134"/>
      <c r="D39" s="134"/>
      <c r="E39" s="14" t="s">
        <v>187</v>
      </c>
      <c r="F39" s="30"/>
      <c r="G39" s="30" t="s">
        <v>24</v>
      </c>
      <c r="H39" s="30"/>
      <c r="I39" s="14" t="s">
        <v>42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2"/>
      <c r="C40" s="134"/>
      <c r="D40" s="134"/>
      <c r="E40" s="14" t="s">
        <v>116</v>
      </c>
      <c r="F40" s="30"/>
      <c r="G40" s="30" t="s">
        <v>24</v>
      </c>
      <c r="H40" s="30"/>
      <c r="I40" s="14" t="s">
        <v>61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2"/>
      <c r="C41" s="134"/>
      <c r="D41" s="135"/>
      <c r="E41" s="40" t="s">
        <v>25</v>
      </c>
      <c r="F41" s="30"/>
      <c r="G41" s="30" t="s">
        <v>24</v>
      </c>
      <c r="H41" s="30"/>
      <c r="I41" s="40" t="s">
        <v>161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2"/>
      <c r="C42" s="134"/>
      <c r="D42" s="134"/>
      <c r="E42" s="14" t="s">
        <v>23</v>
      </c>
      <c r="F42" s="30"/>
      <c r="G42" s="30" t="s">
        <v>24</v>
      </c>
      <c r="H42" s="30"/>
      <c r="I42" s="14" t="s">
        <v>114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2"/>
      <c r="C43" s="134"/>
      <c r="D43" s="134"/>
      <c r="E43" s="14" t="s">
        <v>31</v>
      </c>
      <c r="F43" s="30"/>
      <c r="G43" s="30" t="s">
        <v>24</v>
      </c>
      <c r="H43" s="30"/>
      <c r="I43" s="14" t="s">
        <v>37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2"/>
      <c r="C44" s="134"/>
      <c r="D44" s="134"/>
      <c r="E44" s="14" t="s">
        <v>57</v>
      </c>
      <c r="F44" s="30"/>
      <c r="G44" s="30" t="s">
        <v>24</v>
      </c>
      <c r="H44" s="30"/>
      <c r="I44" s="14" t="s">
        <v>32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2"/>
      <c r="C45" s="133"/>
      <c r="D45" s="134"/>
      <c r="E45" s="14" t="s">
        <v>42</v>
      </c>
      <c r="F45" s="30"/>
      <c r="G45" s="30" t="s">
        <v>24</v>
      </c>
      <c r="H45" s="30"/>
      <c r="I45" s="14" t="s">
        <v>57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6"/>
      <c r="C46" s="133"/>
      <c r="D46" s="134"/>
      <c r="E46" s="14" t="s">
        <v>61</v>
      </c>
      <c r="F46" s="30"/>
      <c r="G46" s="30" t="s">
        <v>24</v>
      </c>
      <c r="H46" s="30"/>
      <c r="I46" s="14" t="s">
        <v>187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6"/>
      <c r="C47" s="133"/>
      <c r="D47" s="134"/>
      <c r="E47" s="14" t="s">
        <v>161</v>
      </c>
      <c r="F47" s="30"/>
      <c r="G47" s="30" t="s">
        <v>24</v>
      </c>
      <c r="H47" s="30"/>
      <c r="I47" s="14" t="s">
        <v>116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6"/>
      <c r="C48" s="133"/>
      <c r="D48" s="134"/>
      <c r="E48" s="40" t="s">
        <v>114</v>
      </c>
      <c r="F48" s="30"/>
      <c r="G48" s="30" t="s">
        <v>24</v>
      </c>
      <c r="H48" s="30"/>
      <c r="I48" s="40" t="s">
        <v>25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6"/>
      <c r="C49" s="133"/>
      <c r="D49" s="134"/>
      <c r="E49" s="40" t="s">
        <v>37</v>
      </c>
      <c r="F49" s="30"/>
      <c r="G49" s="30" t="s">
        <v>24</v>
      </c>
      <c r="H49" s="30"/>
      <c r="I49" s="40" t="s">
        <v>23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6"/>
      <c r="C50" s="133"/>
      <c r="D50" s="134"/>
      <c r="E50" s="14" t="s">
        <v>32</v>
      </c>
      <c r="F50" s="30"/>
      <c r="G50" s="30" t="s">
        <v>24</v>
      </c>
      <c r="H50" s="30"/>
      <c r="I50" s="14" t="s">
        <v>31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2"/>
      <c r="C51" s="133"/>
      <c r="D51" s="134"/>
      <c r="E51" s="14" t="s">
        <v>42</v>
      </c>
      <c r="F51" s="134"/>
      <c r="G51" s="30" t="s">
        <v>24</v>
      </c>
      <c r="H51" s="30"/>
      <c r="I51" s="14" t="s">
        <v>61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2"/>
      <c r="C52" s="133"/>
      <c r="D52" s="134"/>
      <c r="E52" s="14" t="s">
        <v>187</v>
      </c>
      <c r="F52" s="134"/>
      <c r="G52" s="30" t="s">
        <v>24</v>
      </c>
      <c r="H52" s="30"/>
      <c r="I52" s="14" t="s">
        <v>161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2"/>
      <c r="C53" s="133"/>
      <c r="D53" s="134"/>
      <c r="E53" s="14" t="s">
        <v>116</v>
      </c>
      <c r="F53" s="134"/>
      <c r="G53" s="30" t="s">
        <v>24</v>
      </c>
      <c r="H53" s="30"/>
      <c r="I53" s="14" t="s">
        <v>114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2"/>
      <c r="C54" s="133"/>
      <c r="D54" s="134"/>
      <c r="E54" s="14" t="s">
        <v>25</v>
      </c>
      <c r="F54" s="134"/>
      <c r="G54" s="30" t="s">
        <v>24</v>
      </c>
      <c r="H54" s="30"/>
      <c r="I54" s="14" t="s">
        <v>37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2"/>
      <c r="C55" s="133"/>
      <c r="D55" s="134"/>
      <c r="E55" s="14" t="s">
        <v>23</v>
      </c>
      <c r="F55" s="134"/>
      <c r="G55" s="30" t="s">
        <v>24</v>
      </c>
      <c r="H55" s="30"/>
      <c r="I55" s="14" t="s">
        <v>32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2"/>
      <c r="C56" s="133"/>
      <c r="D56" s="134"/>
      <c r="E56" s="14" t="s">
        <v>57</v>
      </c>
      <c r="F56" s="134"/>
      <c r="G56" s="30" t="s">
        <v>24</v>
      </c>
      <c r="H56" s="30"/>
      <c r="I56" s="14" t="s">
        <v>31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6"/>
      <c r="C57" s="134"/>
      <c r="D57" s="134"/>
      <c r="E57" s="14" t="s">
        <v>57</v>
      </c>
      <c r="F57" s="30"/>
      <c r="G57" s="30" t="s">
        <v>24</v>
      </c>
      <c r="H57" s="30"/>
      <c r="I57" s="14" t="s">
        <v>61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2"/>
      <c r="C58" s="134"/>
      <c r="D58" s="134"/>
      <c r="E58" s="14" t="s">
        <v>161</v>
      </c>
      <c r="F58" s="30"/>
      <c r="G58" s="30" t="s">
        <v>24</v>
      </c>
      <c r="H58" s="30"/>
      <c r="I58" s="14" t="s">
        <v>42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2"/>
      <c r="C59" s="134"/>
      <c r="D59" s="134"/>
      <c r="E59" s="14" t="s">
        <v>114</v>
      </c>
      <c r="F59" s="30"/>
      <c r="G59" s="30" t="s">
        <v>24</v>
      </c>
      <c r="H59" s="30"/>
      <c r="I59" s="14" t="s">
        <v>187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2"/>
      <c r="C60" s="134"/>
      <c r="D60" s="134"/>
      <c r="E60" s="14" t="s">
        <v>37</v>
      </c>
      <c r="F60" s="30"/>
      <c r="G60" s="30" t="s">
        <v>24</v>
      </c>
      <c r="H60" s="30"/>
      <c r="I60" s="14" t="s">
        <v>116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2"/>
      <c r="C61" s="134"/>
      <c r="D61" s="134"/>
      <c r="E61" s="14" t="s">
        <v>32</v>
      </c>
      <c r="F61" s="30"/>
      <c r="G61" s="30" t="s">
        <v>24</v>
      </c>
      <c r="H61" s="30"/>
      <c r="I61" s="14" t="s">
        <v>25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2"/>
      <c r="C62" s="134"/>
      <c r="D62" s="134"/>
      <c r="E62" s="14" t="s">
        <v>31</v>
      </c>
      <c r="F62" s="30"/>
      <c r="G62" s="30" t="s">
        <v>24</v>
      </c>
      <c r="H62" s="30"/>
      <c r="I62" s="14" t="s">
        <v>23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2"/>
      <c r="C63" s="133"/>
      <c r="D63" s="134"/>
      <c r="E63" s="14" t="s">
        <v>61</v>
      </c>
      <c r="F63" s="30"/>
      <c r="G63" s="30" t="s">
        <v>24</v>
      </c>
      <c r="H63" s="30"/>
      <c r="I63" s="14" t="s">
        <v>161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2"/>
      <c r="C64" s="133"/>
      <c r="D64" s="134"/>
      <c r="E64" s="14" t="s">
        <v>42</v>
      </c>
      <c r="F64" s="30"/>
      <c r="G64" s="30" t="s">
        <v>24</v>
      </c>
      <c r="H64" s="30"/>
      <c r="I64" s="14" t="s">
        <v>114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2"/>
      <c r="C65" s="133"/>
      <c r="D65" s="134"/>
      <c r="E65" s="14" t="s">
        <v>187</v>
      </c>
      <c r="F65" s="30"/>
      <c r="G65" s="30" t="s">
        <v>24</v>
      </c>
      <c r="H65" s="30"/>
      <c r="I65" s="14" t="s">
        <v>37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2"/>
      <c r="C66" s="133"/>
      <c r="D66" s="134"/>
      <c r="E66" s="14" t="s">
        <v>116</v>
      </c>
      <c r="F66" s="30"/>
      <c r="G66" s="30" t="s">
        <v>24</v>
      </c>
      <c r="H66" s="30"/>
      <c r="I66" s="14" t="s">
        <v>32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2"/>
      <c r="C67" s="133"/>
      <c r="D67" s="134"/>
      <c r="E67" s="14" t="s">
        <v>25</v>
      </c>
      <c r="F67" s="30"/>
      <c r="G67" s="30" t="s">
        <v>24</v>
      </c>
      <c r="H67" s="30"/>
      <c r="I67" s="14" t="s">
        <v>31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6"/>
      <c r="C68" s="133"/>
      <c r="D68" s="134"/>
      <c r="E68" s="14" t="s">
        <v>23</v>
      </c>
      <c r="F68" s="13"/>
      <c r="G68" s="30" t="s">
        <v>24</v>
      </c>
      <c r="H68" s="13"/>
      <c r="I68" s="14" t="s">
        <v>57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</row>
    <row r="72" ht="15.75" customHeight="1">
      <c r="A72" s="118" t="s">
        <v>199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58">
        <v>1.0</v>
      </c>
      <c r="B74" s="11">
        <v>45944.0</v>
      </c>
      <c r="C74" s="12" t="s">
        <v>146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20"/>
      <c r="K74" s="121">
        <f t="shared" ref="K74:K139" si="9">IFS(F74=H74+2,3,F74=H74-2,0,F74=H74+1,2,F74=H74-1,1,F74="","")</f>
        <v>1</v>
      </c>
      <c r="L74" s="122">
        <f t="shared" ref="L74:L139" si="10">IFS(H74=F74+2,3,H74=F74-2,0,H74=F74+1,2,H74=F74-1,1,H74="","")</f>
        <v>2</v>
      </c>
      <c r="M74" s="120"/>
      <c r="N74" s="122">
        <v>1.0</v>
      </c>
      <c r="O74" s="123" t="s">
        <v>40</v>
      </c>
      <c r="P74" s="122">
        <f t="shared" ref="P74:P84" si="11">SUMIF(E$74:E$139,O74,K$74:K$139)+SUMIF(I$74:I$139,O74,L$74:L$139)</f>
        <v>3</v>
      </c>
      <c r="Q74" s="124">
        <f t="shared" ref="Q74:Q84" si="12">COUNTIFS(E$74:E$139,O74,K$74:K$139,2)+COUNTIFS(I$74:I$139,O74,L$74:L$139,2)+COUNTIFS(E$74:E$139,O74,K$74:K$139,3)+COUNTIFS(I$74:I$139,O74,L$74:L$139,3)</f>
        <v>0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5</v>
      </c>
      <c r="T74" s="122">
        <f t="shared" ref="T74:T84" si="14">SUMIF(E$74:E$139,O74,F$74:F$139)+SUMIF(I$74:I$139,O74,H$74:H$139)</f>
        <v>3</v>
      </c>
      <c r="U74" s="125">
        <f t="shared" ref="U74:U84" si="15">SUMIF(E$74:E$139,O74,H$74:H$139)+SUMIF(I$74:I$139,O74,F$74:F$139)</f>
        <v>10</v>
      </c>
      <c r="V74" s="122">
        <f t="shared" ref="V74:V84" si="16">T74-U74</f>
        <v>-7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148</v>
      </c>
      <c r="D75" s="12" t="s">
        <v>22</v>
      </c>
      <c r="E75" s="14" t="s">
        <v>158</v>
      </c>
      <c r="F75" s="13">
        <v>2.0</v>
      </c>
      <c r="G75" s="30" t="s">
        <v>24</v>
      </c>
      <c r="H75" s="13">
        <v>0.0</v>
      </c>
      <c r="I75" s="14" t="s">
        <v>60</v>
      </c>
      <c r="J75" s="120"/>
      <c r="K75" s="121">
        <f t="shared" si="9"/>
        <v>3</v>
      </c>
      <c r="L75" s="122">
        <f t="shared" si="10"/>
        <v>0</v>
      </c>
      <c r="M75" s="120"/>
      <c r="N75" s="122">
        <v>2.0</v>
      </c>
      <c r="O75" s="123" t="s">
        <v>35</v>
      </c>
      <c r="P75" s="122">
        <f t="shared" si="11"/>
        <v>3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2</v>
      </c>
      <c r="U75" s="125">
        <f t="shared" si="15"/>
        <v>6</v>
      </c>
      <c r="V75" s="122">
        <f t="shared" si="16"/>
        <v>-4</v>
      </c>
      <c r="X75" s="109" t="s">
        <v>33</v>
      </c>
      <c r="Y75" s="109">
        <v>3.0</v>
      </c>
      <c r="AA75" s="96" t="s">
        <v>115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146</v>
      </c>
      <c r="D76" s="12" t="s">
        <v>22</v>
      </c>
      <c r="E76" s="14" t="s">
        <v>200</v>
      </c>
      <c r="F76" s="13">
        <v>2.0</v>
      </c>
      <c r="G76" s="30" t="s">
        <v>24</v>
      </c>
      <c r="H76" s="13">
        <v>0.0</v>
      </c>
      <c r="I76" s="14" t="s">
        <v>133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144</v>
      </c>
      <c r="P76" s="122">
        <f t="shared" si="11"/>
        <v>9</v>
      </c>
      <c r="Q76" s="124">
        <f t="shared" si="12"/>
        <v>3</v>
      </c>
      <c r="R76" s="125"/>
      <c r="S76" s="125">
        <f t="shared" si="13"/>
        <v>1</v>
      </c>
      <c r="T76" s="122">
        <f t="shared" si="14"/>
        <v>7</v>
      </c>
      <c r="U76" s="125">
        <f t="shared" si="15"/>
        <v>3</v>
      </c>
      <c r="V76" s="122">
        <f t="shared" si="16"/>
        <v>4</v>
      </c>
      <c r="X76" s="109" t="s">
        <v>35</v>
      </c>
      <c r="Y76" s="109">
        <v>0.0</v>
      </c>
      <c r="AA76" s="21">
        <v>3.0</v>
      </c>
      <c r="AB76" s="63" t="s">
        <v>144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147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0"/>
      <c r="K77" s="121">
        <f t="shared" si="9"/>
        <v>2</v>
      </c>
      <c r="L77" s="122">
        <f t="shared" si="10"/>
        <v>1</v>
      </c>
      <c r="M77" s="120"/>
      <c r="N77" s="122">
        <v>4.0</v>
      </c>
      <c r="O77" s="123" t="s">
        <v>118</v>
      </c>
      <c r="P77" s="122">
        <f t="shared" si="11"/>
        <v>7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4</v>
      </c>
      <c r="V77" s="122">
        <f t="shared" si="16"/>
        <v>2</v>
      </c>
      <c r="AA77" s="21">
        <v>4.0</v>
      </c>
      <c r="AB77" s="63" t="s">
        <v>200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147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0"/>
      <c r="K78" s="121">
        <f t="shared" si="9"/>
        <v>0</v>
      </c>
      <c r="L78" s="122">
        <f t="shared" si="10"/>
        <v>3</v>
      </c>
      <c r="M78" s="120"/>
      <c r="N78" s="122">
        <v>5.0</v>
      </c>
      <c r="O78" s="123" t="s">
        <v>60</v>
      </c>
      <c r="P78" s="122">
        <f t="shared" si="11"/>
        <v>6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4</v>
      </c>
      <c r="U78" s="125">
        <f t="shared" si="15"/>
        <v>4</v>
      </c>
      <c r="V78" s="122">
        <f t="shared" si="16"/>
        <v>0</v>
      </c>
      <c r="AA78" s="21">
        <v>5.0</v>
      </c>
      <c r="AB78" s="63" t="s">
        <v>118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35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65</v>
      </c>
      <c r="P79" s="122">
        <f t="shared" si="11"/>
        <v>3</v>
      </c>
      <c r="Q79" s="124">
        <f t="shared" si="12"/>
        <v>1</v>
      </c>
      <c r="R79" s="125"/>
      <c r="S79" s="125">
        <f t="shared" si="13"/>
        <v>3</v>
      </c>
      <c r="T79" s="122">
        <f t="shared" si="14"/>
        <v>3</v>
      </c>
      <c r="U79" s="125">
        <f t="shared" si="15"/>
        <v>7</v>
      </c>
      <c r="V79" s="122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2"/>
      <c r="C80" s="133"/>
      <c r="D80" s="134"/>
      <c r="E80" s="14" t="s">
        <v>144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133</v>
      </c>
      <c r="P80" s="122">
        <f t="shared" si="11"/>
        <v>4</v>
      </c>
      <c r="Q80" s="124">
        <f t="shared" si="12"/>
        <v>2</v>
      </c>
      <c r="R80" s="125"/>
      <c r="S80" s="125">
        <f t="shared" si="13"/>
        <v>3</v>
      </c>
      <c r="T80" s="122">
        <f t="shared" si="14"/>
        <v>4</v>
      </c>
      <c r="U80" s="125">
        <f t="shared" si="15"/>
        <v>8</v>
      </c>
      <c r="V80" s="122">
        <f t="shared" si="16"/>
        <v>-4</v>
      </c>
      <c r="AA80" s="21">
        <v>7.0</v>
      </c>
      <c r="AB80" s="63" t="s">
        <v>111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147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20"/>
      <c r="K81" s="121">
        <f t="shared" si="9"/>
        <v>3</v>
      </c>
      <c r="L81" s="122">
        <f t="shared" si="10"/>
        <v>0</v>
      </c>
      <c r="M81" s="120"/>
      <c r="N81" s="122">
        <v>8.0</v>
      </c>
      <c r="O81" s="123" t="s">
        <v>200</v>
      </c>
      <c r="P81" s="122">
        <f t="shared" si="11"/>
        <v>8</v>
      </c>
      <c r="Q81" s="124">
        <f t="shared" si="12"/>
        <v>2</v>
      </c>
      <c r="R81" s="125"/>
      <c r="S81" s="125">
        <f t="shared" si="13"/>
        <v>3</v>
      </c>
      <c r="T81" s="122">
        <f t="shared" si="14"/>
        <v>6</v>
      </c>
      <c r="U81" s="125">
        <f t="shared" si="15"/>
        <v>6</v>
      </c>
      <c r="V81" s="122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158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111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35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200</v>
      </c>
      <c r="J83" s="120"/>
      <c r="K83" s="121">
        <f t="shared" si="9"/>
        <v>2</v>
      </c>
      <c r="L83" s="122">
        <f t="shared" si="10"/>
        <v>1</v>
      </c>
      <c r="M83" s="120"/>
      <c r="N83" s="122">
        <v>10.0</v>
      </c>
      <c r="O83" s="123" t="s">
        <v>158</v>
      </c>
      <c r="P83" s="122">
        <f t="shared" si="11"/>
        <v>14</v>
      </c>
      <c r="Q83" s="124">
        <f t="shared" si="12"/>
        <v>5</v>
      </c>
      <c r="R83" s="125"/>
      <c r="S83" s="125">
        <f t="shared" si="13"/>
        <v>0</v>
      </c>
      <c r="T83" s="122">
        <f t="shared" si="14"/>
        <v>10</v>
      </c>
      <c r="U83" s="125">
        <f t="shared" si="15"/>
        <v>1</v>
      </c>
      <c r="V83" s="122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64</v>
      </c>
      <c r="P84" s="122">
        <f t="shared" si="11"/>
        <v>12</v>
      </c>
      <c r="Q84" s="124">
        <f t="shared" si="12"/>
        <v>4</v>
      </c>
      <c r="S84" s="125">
        <f t="shared" si="13"/>
        <v>1</v>
      </c>
      <c r="T84" s="122">
        <f t="shared" si="14"/>
        <v>9</v>
      </c>
      <c r="U84" s="125">
        <f t="shared" si="15"/>
        <v>3</v>
      </c>
      <c r="V84" s="122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35</v>
      </c>
      <c r="F85" s="13">
        <v>0.0</v>
      </c>
      <c r="G85" s="30" t="s">
        <v>24</v>
      </c>
      <c r="H85" s="13">
        <v>2.0</v>
      </c>
      <c r="I85" s="14" t="s">
        <v>118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201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60</v>
      </c>
      <c r="J86" s="120"/>
      <c r="K86" s="121">
        <f t="shared" si="9"/>
        <v>3</v>
      </c>
      <c r="L86" s="122">
        <f t="shared" si="10"/>
        <v>0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20"/>
      <c r="K87" s="121">
        <f t="shared" si="9"/>
        <v>1</v>
      </c>
      <c r="L87" s="122">
        <f t="shared" si="10"/>
        <v>2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158</v>
      </c>
      <c r="F88" s="13">
        <v>2.0</v>
      </c>
      <c r="G88" s="30" t="s">
        <v>24</v>
      </c>
      <c r="H88" s="13">
        <v>0.0</v>
      </c>
      <c r="I88" s="14" t="s">
        <v>111</v>
      </c>
      <c r="J88" s="120"/>
      <c r="K88" s="121">
        <f t="shared" si="9"/>
        <v>3</v>
      </c>
      <c r="L88" s="122">
        <f t="shared" si="10"/>
        <v>0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200</v>
      </c>
      <c r="F89" s="13">
        <v>0.0</v>
      </c>
      <c r="G89" s="30" t="s">
        <v>24</v>
      </c>
      <c r="H89" s="13">
        <v>2.0</v>
      </c>
      <c r="I89" s="14" t="s">
        <v>64</v>
      </c>
      <c r="J89" s="131"/>
      <c r="K89" s="121">
        <f t="shared" si="9"/>
        <v>0</v>
      </c>
      <c r="L89" s="122">
        <f t="shared" si="10"/>
        <v>3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35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118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</row>
    <row r="92" ht="15.75" customHeight="1">
      <c r="A92" s="116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144</v>
      </c>
      <c r="J93" s="120"/>
      <c r="K93" s="121">
        <f t="shared" si="9"/>
        <v>2</v>
      </c>
      <c r="L93" s="122">
        <f t="shared" si="10"/>
        <v>1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40</v>
      </c>
      <c r="J94" s="120"/>
      <c r="K94" s="121">
        <f t="shared" si="9"/>
        <v>3</v>
      </c>
      <c r="L94" s="122">
        <f t="shared" si="10"/>
        <v>0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158</v>
      </c>
      <c r="J95" s="120"/>
      <c r="K95" s="121">
        <f t="shared" si="9"/>
        <v>1</v>
      </c>
      <c r="L95" s="122">
        <f t="shared" si="10"/>
        <v>2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35</v>
      </c>
      <c r="F96" s="13">
        <v>0.0</v>
      </c>
      <c r="G96" s="30" t="s">
        <v>24</v>
      </c>
      <c r="H96" s="13">
        <v>2.0</v>
      </c>
      <c r="I96" s="14" t="s">
        <v>200</v>
      </c>
      <c r="J96" s="120"/>
      <c r="K96" s="121">
        <f t="shared" si="9"/>
        <v>0</v>
      </c>
      <c r="L96" s="122">
        <f t="shared" si="10"/>
        <v>3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0"/>
      <c r="K97" s="121">
        <f t="shared" si="9"/>
        <v>2</v>
      </c>
      <c r="L97" s="122">
        <f t="shared" si="10"/>
        <v>1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177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202</v>
      </c>
      <c r="D99" s="12" t="s">
        <v>22</v>
      </c>
      <c r="E99" s="14" t="s">
        <v>144</v>
      </c>
      <c r="F99" s="140">
        <v>2.0</v>
      </c>
      <c r="G99" s="30" t="s">
        <v>24</v>
      </c>
      <c r="H99" s="13">
        <v>0.0</v>
      </c>
      <c r="I99" s="14" t="s">
        <v>111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203</v>
      </c>
      <c r="D100" s="12" t="s">
        <v>22</v>
      </c>
      <c r="E100" s="14" t="s">
        <v>40</v>
      </c>
      <c r="F100" s="140">
        <v>1.0</v>
      </c>
      <c r="G100" s="30" t="s">
        <v>24</v>
      </c>
      <c r="H100" s="13">
        <v>2.0</v>
      </c>
      <c r="I100" s="14" t="s">
        <v>64</v>
      </c>
      <c r="J100" s="120"/>
      <c r="K100" s="121">
        <f t="shared" si="9"/>
        <v>1</v>
      </c>
      <c r="L100" s="122">
        <f t="shared" si="10"/>
        <v>2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203</v>
      </c>
      <c r="D101" s="12" t="s">
        <v>22</v>
      </c>
      <c r="E101" s="14" t="s">
        <v>158</v>
      </c>
      <c r="F101" s="140">
        <v>2.0</v>
      </c>
      <c r="G101" s="30" t="s">
        <v>24</v>
      </c>
      <c r="H101" s="13">
        <v>0.0</v>
      </c>
      <c r="I101" s="14" t="s">
        <v>35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203</v>
      </c>
      <c r="D102" s="12" t="s">
        <v>22</v>
      </c>
      <c r="E102" s="14" t="s">
        <v>200</v>
      </c>
      <c r="F102" s="140">
        <v>1.0</v>
      </c>
      <c r="G102" s="30" t="s">
        <v>24</v>
      </c>
      <c r="H102" s="13">
        <v>2.0</v>
      </c>
      <c r="I102" s="14" t="s">
        <v>118</v>
      </c>
      <c r="J102" s="120"/>
      <c r="K102" s="121">
        <f t="shared" si="9"/>
        <v>1</v>
      </c>
      <c r="L102" s="122">
        <f t="shared" si="10"/>
        <v>2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65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2"/>
      <c r="C104" s="133"/>
      <c r="D104" s="134"/>
      <c r="E104" s="14" t="s">
        <v>133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2"/>
      <c r="C105" s="134"/>
      <c r="D105" s="134"/>
      <c r="E105" s="14" t="s">
        <v>111</v>
      </c>
      <c r="F105" s="30"/>
      <c r="G105" s="30" t="s">
        <v>24</v>
      </c>
      <c r="H105" s="30"/>
      <c r="I105" s="14" t="s">
        <v>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2"/>
      <c r="C106" s="134"/>
      <c r="D106" s="134"/>
      <c r="E106" s="14" t="s">
        <v>64</v>
      </c>
      <c r="F106" s="30"/>
      <c r="G106" s="30" t="s">
        <v>24</v>
      </c>
      <c r="H106" s="30"/>
      <c r="I106" s="14" t="s">
        <v>144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2"/>
      <c r="C107" s="133"/>
      <c r="D107" s="134"/>
      <c r="E107" s="14" t="s">
        <v>35</v>
      </c>
      <c r="F107" s="30"/>
      <c r="G107" s="30" t="s">
        <v>24</v>
      </c>
      <c r="H107" s="30"/>
      <c r="I107" s="14" t="s">
        <v>40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2"/>
      <c r="C108" s="134"/>
      <c r="D108" s="134"/>
      <c r="E108" s="14" t="s">
        <v>118</v>
      </c>
      <c r="F108" s="30"/>
      <c r="G108" s="30" t="s">
        <v>24</v>
      </c>
      <c r="H108" s="30"/>
      <c r="I108" s="14" t="s">
        <v>158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2"/>
      <c r="C109" s="134"/>
      <c r="D109" s="134"/>
      <c r="E109" s="14" t="s">
        <v>65</v>
      </c>
      <c r="F109" s="30"/>
      <c r="G109" s="30" t="s">
        <v>24</v>
      </c>
      <c r="H109" s="30"/>
      <c r="I109" s="14" t="s">
        <v>200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2"/>
      <c r="C110" s="133"/>
      <c r="D110" s="134"/>
      <c r="E110" s="14" t="s">
        <v>133</v>
      </c>
      <c r="F110" s="30"/>
      <c r="G110" s="30" t="s">
        <v>24</v>
      </c>
      <c r="H110" s="30"/>
      <c r="I110" s="14" t="s">
        <v>111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2"/>
      <c r="C111" s="133"/>
      <c r="D111" s="134"/>
      <c r="E111" s="14" t="s">
        <v>60</v>
      </c>
      <c r="F111" s="30"/>
      <c r="G111" s="30" t="s">
        <v>24</v>
      </c>
      <c r="H111" s="30"/>
      <c r="I111" s="14" t="s">
        <v>64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2"/>
      <c r="C112" s="133"/>
      <c r="D112" s="134"/>
      <c r="E112" s="14" t="s">
        <v>144</v>
      </c>
      <c r="F112" s="30"/>
      <c r="G112" s="30" t="s">
        <v>24</v>
      </c>
      <c r="H112" s="30"/>
      <c r="I112" s="14" t="s">
        <v>35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2"/>
      <c r="C113" s="133"/>
      <c r="D113" s="134"/>
      <c r="E113" s="14" t="s">
        <v>40</v>
      </c>
      <c r="F113" s="30"/>
      <c r="G113" s="30" t="s">
        <v>24</v>
      </c>
      <c r="H113" s="30"/>
      <c r="I113" s="14" t="s">
        <v>118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2"/>
      <c r="C114" s="134"/>
      <c r="D114" s="134"/>
      <c r="E114" s="14" t="s">
        <v>158</v>
      </c>
      <c r="F114" s="30"/>
      <c r="G114" s="30" t="s">
        <v>24</v>
      </c>
      <c r="H114" s="30"/>
      <c r="I114" s="14" t="s">
        <v>65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200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2"/>
      <c r="C116" s="133"/>
      <c r="D116" s="134"/>
      <c r="E116" s="14" t="s">
        <v>111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2"/>
      <c r="C117" s="133"/>
      <c r="D117" s="134"/>
      <c r="E117" s="14" t="s">
        <v>64</v>
      </c>
      <c r="F117" s="30"/>
      <c r="G117" s="30" t="s">
        <v>24</v>
      </c>
      <c r="H117" s="30"/>
      <c r="I117" s="14" t="s">
        <v>133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2"/>
      <c r="C118" s="133"/>
      <c r="D118" s="134"/>
      <c r="E118" s="14" t="s">
        <v>35</v>
      </c>
      <c r="F118" s="30"/>
      <c r="G118" s="30" t="s">
        <v>24</v>
      </c>
      <c r="H118" s="30"/>
      <c r="I118" s="14" t="s">
        <v>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2"/>
      <c r="C119" s="133"/>
      <c r="D119" s="134"/>
      <c r="E119" s="14" t="s">
        <v>118</v>
      </c>
      <c r="F119" s="30"/>
      <c r="G119" s="30" t="s">
        <v>24</v>
      </c>
      <c r="H119" s="30"/>
      <c r="I119" s="14" t="s">
        <v>144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2"/>
      <c r="C120" s="134"/>
      <c r="D120" s="134"/>
      <c r="E120" s="14" t="s">
        <v>65</v>
      </c>
      <c r="F120" s="30"/>
      <c r="G120" s="30" t="s">
        <v>24</v>
      </c>
      <c r="H120" s="30"/>
      <c r="I120" s="14" t="s">
        <v>40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2"/>
      <c r="C121" s="134"/>
      <c r="D121" s="134"/>
      <c r="E121" s="14" t="s">
        <v>200</v>
      </c>
      <c r="F121" s="30"/>
      <c r="G121" s="30" t="s">
        <v>24</v>
      </c>
      <c r="H121" s="30"/>
      <c r="I121" s="14" t="s">
        <v>158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2"/>
      <c r="C122" s="133"/>
      <c r="D122" s="134"/>
      <c r="E122" s="14" t="s">
        <v>111</v>
      </c>
      <c r="F122" s="30"/>
      <c r="G122" s="30" t="s">
        <v>24</v>
      </c>
      <c r="H122" s="30"/>
      <c r="I122" s="14" t="s">
        <v>64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2"/>
      <c r="C123" s="133"/>
      <c r="D123" s="134"/>
      <c r="E123" s="14" t="s">
        <v>133</v>
      </c>
      <c r="F123" s="30"/>
      <c r="G123" s="30" t="s">
        <v>24</v>
      </c>
      <c r="H123" s="30"/>
      <c r="I123" s="14" t="s">
        <v>35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2"/>
      <c r="C124" s="133"/>
      <c r="D124" s="134"/>
      <c r="E124" s="14" t="s">
        <v>60</v>
      </c>
      <c r="F124" s="30"/>
      <c r="G124" s="30" t="s">
        <v>24</v>
      </c>
      <c r="H124" s="30"/>
      <c r="I124" s="14" t="s">
        <v>118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2"/>
      <c r="C125" s="133"/>
      <c r="D125" s="134"/>
      <c r="E125" s="14" t="s">
        <v>144</v>
      </c>
      <c r="F125" s="30"/>
      <c r="G125" s="30" t="s">
        <v>24</v>
      </c>
      <c r="H125" s="30"/>
      <c r="I125" s="14" t="s">
        <v>65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2"/>
      <c r="C126" s="134"/>
      <c r="D126" s="134"/>
      <c r="E126" s="14" t="s">
        <v>40</v>
      </c>
      <c r="F126" s="30"/>
      <c r="G126" s="30" t="s">
        <v>24</v>
      </c>
      <c r="H126" s="30"/>
      <c r="I126" s="14" t="s">
        <v>200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158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64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2"/>
      <c r="C129" s="133"/>
      <c r="D129" s="134"/>
      <c r="E129" s="14" t="s">
        <v>35</v>
      </c>
      <c r="F129" s="30"/>
      <c r="G129" s="30" t="s">
        <v>24</v>
      </c>
      <c r="H129" s="30"/>
      <c r="I129" s="14" t="s">
        <v>111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2"/>
      <c r="C130" s="133"/>
      <c r="D130" s="134"/>
      <c r="E130" s="14" t="s">
        <v>118</v>
      </c>
      <c r="F130" s="30"/>
      <c r="G130" s="30" t="s">
        <v>24</v>
      </c>
      <c r="H130" s="30"/>
      <c r="I130" s="14" t="s">
        <v>133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2"/>
      <c r="C131" s="133"/>
      <c r="D131" s="134"/>
      <c r="E131" s="14" t="s">
        <v>65</v>
      </c>
      <c r="F131" s="30"/>
      <c r="G131" s="30" t="s">
        <v>24</v>
      </c>
      <c r="H131" s="30"/>
      <c r="I131" s="14" t="s">
        <v>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2"/>
      <c r="C132" s="134"/>
      <c r="D132" s="134"/>
      <c r="E132" s="14" t="s">
        <v>200</v>
      </c>
      <c r="F132" s="30"/>
      <c r="G132" s="30" t="s">
        <v>24</v>
      </c>
      <c r="H132" s="30"/>
      <c r="I132" s="14" t="s">
        <v>144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2"/>
      <c r="C133" s="134"/>
      <c r="D133" s="134"/>
      <c r="E133" s="14" t="s">
        <v>158</v>
      </c>
      <c r="F133" s="30"/>
      <c r="G133" s="30" t="s">
        <v>24</v>
      </c>
      <c r="H133" s="30"/>
      <c r="I133" s="14" t="s">
        <v>40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2"/>
      <c r="C134" s="133"/>
      <c r="D134" s="134"/>
      <c r="E134" s="14" t="s">
        <v>64</v>
      </c>
      <c r="F134" s="13"/>
      <c r="G134" s="30" t="s">
        <v>24</v>
      </c>
      <c r="H134" s="13"/>
      <c r="I134" s="14" t="s">
        <v>35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2"/>
      <c r="C135" s="133"/>
      <c r="D135" s="134"/>
      <c r="E135" s="14" t="s">
        <v>111</v>
      </c>
      <c r="F135" s="30"/>
      <c r="G135" s="30" t="s">
        <v>24</v>
      </c>
      <c r="H135" s="30"/>
      <c r="I135" s="14" t="s">
        <v>118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2"/>
      <c r="C136" s="133"/>
      <c r="D136" s="134"/>
      <c r="E136" s="14" t="s">
        <v>133</v>
      </c>
      <c r="F136" s="13"/>
      <c r="G136" s="30" t="s">
        <v>24</v>
      </c>
      <c r="H136" s="13"/>
      <c r="I136" s="14" t="s">
        <v>65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2"/>
      <c r="C137" s="133"/>
      <c r="D137" s="134"/>
      <c r="E137" s="14" t="s">
        <v>60</v>
      </c>
      <c r="F137" s="30"/>
      <c r="G137" s="30" t="s">
        <v>24</v>
      </c>
      <c r="H137" s="30"/>
      <c r="I137" s="14" t="s">
        <v>200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2"/>
      <c r="C138" s="134"/>
      <c r="D138" s="134"/>
      <c r="E138" s="14" t="s">
        <v>144</v>
      </c>
      <c r="F138" s="13"/>
      <c r="G138" s="30" t="s">
        <v>24</v>
      </c>
      <c r="H138" s="13"/>
      <c r="I138" s="14" t="s">
        <v>158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2"/>
      <c r="C139" s="134"/>
      <c r="D139" s="134"/>
      <c r="E139" s="14" t="s">
        <v>40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</row>
    <row r="144" ht="15.75" customHeight="1">
      <c r="A144" s="145" t="s">
        <v>204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58">
        <v>1.0</v>
      </c>
      <c r="B146" s="11">
        <v>45944.0</v>
      </c>
      <c r="C146" s="12" t="s">
        <v>148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122</v>
      </c>
      <c r="P146" s="122">
        <f t="shared" ref="P146:P156" si="19">SUMIF(E$146:E$211,O146,K$146:K$211)+SUMIF(I$146:I$211,O146,L$146:L$211)</f>
        <v>11</v>
      </c>
      <c r="Q146" s="124">
        <f t="shared" ref="Q146:Q156" si="20">COUNTIFS(E$146:E$211,O146,K$146:K$211,2)+COUNTIFS(I$146:I$211,O146,L$146:L$211,2)+COUNTIFS(E$146:E$211,O146,K$146:K$211,3)+COUNTIFS(I$146:I$211,O146,L$146:L$211,3)</f>
        <v>4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1</v>
      </c>
      <c r="T146" s="122">
        <f t="shared" ref="T146:T156" si="22">SUMIF(E$146:E$211,O146,F$146:F$211)+SUMIF(I$146:I$211,O146,H$146:H$211)</f>
        <v>9</v>
      </c>
      <c r="U146" s="125">
        <f t="shared" ref="U146:U156" si="23">SUMIF(E$146:E$211,O146,H$146:H$211)+SUMIF(I$146:I$211,O146,F$146:F$211)</f>
        <v>4</v>
      </c>
      <c r="V146" s="122">
        <f t="shared" ref="V146:V156" si="24">T146-U146</f>
        <v>5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148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43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143</v>
      </c>
      <c r="P147" s="122">
        <f t="shared" si="19"/>
        <v>9</v>
      </c>
      <c r="Q147" s="124">
        <f t="shared" si="20"/>
        <v>3</v>
      </c>
      <c r="R147" s="125"/>
      <c r="S147" s="125">
        <f t="shared" si="21"/>
        <v>1</v>
      </c>
      <c r="T147" s="122">
        <f t="shared" si="22"/>
        <v>7</v>
      </c>
      <c r="U147" s="125">
        <f t="shared" si="23"/>
        <v>3</v>
      </c>
      <c r="V147" s="122">
        <f t="shared" si="24"/>
        <v>4</v>
      </c>
      <c r="X147" s="109" t="s">
        <v>33</v>
      </c>
      <c r="Y147" s="109">
        <v>3.0</v>
      </c>
      <c r="AA147" s="96" t="s">
        <v>115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146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62</v>
      </c>
      <c r="J148" s="120"/>
      <c r="K148" s="121">
        <f t="shared" si="17"/>
        <v>3</v>
      </c>
      <c r="L148" s="122">
        <f t="shared" si="18"/>
        <v>0</v>
      </c>
      <c r="M148" s="120"/>
      <c r="N148" s="122">
        <v>3.0</v>
      </c>
      <c r="O148" s="123" t="s">
        <v>56</v>
      </c>
      <c r="P148" s="122">
        <f t="shared" si="19"/>
        <v>10</v>
      </c>
      <c r="Q148" s="124">
        <f t="shared" si="20"/>
        <v>3</v>
      </c>
      <c r="R148" s="125"/>
      <c r="S148" s="125">
        <f t="shared" si="21"/>
        <v>1</v>
      </c>
      <c r="T148" s="122">
        <f t="shared" si="22"/>
        <v>7</v>
      </c>
      <c r="U148" s="125">
        <f t="shared" si="23"/>
        <v>2</v>
      </c>
      <c r="V148" s="122">
        <f t="shared" si="24"/>
        <v>5</v>
      </c>
      <c r="X148" s="109" t="s">
        <v>35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0"/>
      <c r="K149" s="121">
        <f t="shared" si="17"/>
        <v>1</v>
      </c>
      <c r="L149" s="122">
        <f t="shared" si="18"/>
        <v>2</v>
      </c>
      <c r="M149" s="120"/>
      <c r="N149" s="122">
        <v>4.0</v>
      </c>
      <c r="O149" s="123" t="s">
        <v>59</v>
      </c>
      <c r="P149" s="122">
        <f t="shared" si="19"/>
        <v>5</v>
      </c>
      <c r="Q149" s="124">
        <f t="shared" si="20"/>
        <v>2</v>
      </c>
      <c r="R149" s="125"/>
      <c r="S149" s="125">
        <f t="shared" si="21"/>
        <v>2</v>
      </c>
      <c r="T149" s="122">
        <f t="shared" si="22"/>
        <v>4</v>
      </c>
      <c r="U149" s="125">
        <f t="shared" si="23"/>
        <v>5</v>
      </c>
      <c r="V149" s="122">
        <f t="shared" si="24"/>
        <v>-1</v>
      </c>
      <c r="AA149" s="21">
        <v>4.0</v>
      </c>
      <c r="AB149" s="63" t="s">
        <v>143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0"/>
      <c r="K150" s="121">
        <f t="shared" si="17"/>
        <v>0</v>
      </c>
      <c r="L150" s="122">
        <f t="shared" si="18"/>
        <v>3</v>
      </c>
      <c r="M150" s="120"/>
      <c r="N150" s="122">
        <v>5.0</v>
      </c>
      <c r="O150" s="123" t="s">
        <v>43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143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55</v>
      </c>
      <c r="P151" s="122">
        <f t="shared" si="19"/>
        <v>7</v>
      </c>
      <c r="Q151" s="124">
        <f t="shared" si="20"/>
        <v>2</v>
      </c>
      <c r="R151" s="125"/>
      <c r="S151" s="125">
        <f t="shared" si="21"/>
        <v>2</v>
      </c>
      <c r="T151" s="122">
        <f t="shared" si="22"/>
        <v>5</v>
      </c>
      <c r="U151" s="125">
        <f t="shared" si="23"/>
        <v>4</v>
      </c>
      <c r="V151" s="122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2"/>
      <c r="C152" s="133"/>
      <c r="D152" s="134"/>
      <c r="E152" s="14" t="s">
        <v>56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62</v>
      </c>
      <c r="P152" s="122">
        <f t="shared" si="19"/>
        <v>2</v>
      </c>
      <c r="Q152" s="124">
        <f t="shared" si="20"/>
        <v>1</v>
      </c>
      <c r="R152" s="125"/>
      <c r="S152" s="125">
        <f t="shared" si="21"/>
        <v>4</v>
      </c>
      <c r="T152" s="122">
        <f t="shared" si="22"/>
        <v>2</v>
      </c>
      <c r="U152" s="125">
        <f t="shared" si="23"/>
        <v>9</v>
      </c>
      <c r="V152" s="122">
        <f t="shared" si="24"/>
        <v>-7</v>
      </c>
      <c r="AA152" s="21">
        <v>7.0</v>
      </c>
      <c r="AB152" s="63" t="s">
        <v>113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43</v>
      </c>
      <c r="F153" s="13">
        <v>1.0</v>
      </c>
      <c r="G153" s="30" t="s">
        <v>24</v>
      </c>
      <c r="H153" s="13">
        <v>2.0</v>
      </c>
      <c r="I153" s="14" t="s">
        <v>122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205</v>
      </c>
      <c r="P153" s="122">
        <f t="shared" si="19"/>
        <v>5</v>
      </c>
      <c r="Q153" s="124">
        <f t="shared" si="20"/>
        <v>1</v>
      </c>
      <c r="R153" s="125"/>
      <c r="S153" s="125">
        <f t="shared" si="21"/>
        <v>4</v>
      </c>
      <c r="T153" s="122">
        <f t="shared" si="22"/>
        <v>4</v>
      </c>
      <c r="U153" s="125">
        <f t="shared" si="23"/>
        <v>8</v>
      </c>
      <c r="V153" s="122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0"/>
      <c r="K154" s="121">
        <f t="shared" si="17"/>
        <v>0</v>
      </c>
      <c r="L154" s="122">
        <f t="shared" si="18"/>
        <v>3</v>
      </c>
      <c r="M154" s="120"/>
      <c r="N154" s="122">
        <v>9.0</v>
      </c>
      <c r="O154" s="123" t="s">
        <v>113</v>
      </c>
      <c r="P154" s="122">
        <f t="shared" si="19"/>
        <v>6</v>
      </c>
      <c r="Q154" s="124">
        <f t="shared" si="20"/>
        <v>3</v>
      </c>
      <c r="R154" s="125"/>
      <c r="S154" s="125">
        <f t="shared" si="21"/>
        <v>2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205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205</v>
      </c>
      <c r="J155" s="120"/>
      <c r="K155" s="121">
        <f t="shared" si="17"/>
        <v>2</v>
      </c>
      <c r="L155" s="122">
        <f t="shared" si="18"/>
        <v>1</v>
      </c>
      <c r="M155" s="120"/>
      <c r="N155" s="122">
        <v>10.0</v>
      </c>
      <c r="O155" s="123" t="s">
        <v>45</v>
      </c>
      <c r="P155" s="122">
        <f t="shared" si="19"/>
        <v>10</v>
      </c>
      <c r="Q155" s="124">
        <f t="shared" si="20"/>
        <v>3</v>
      </c>
      <c r="R155" s="125"/>
      <c r="S155" s="125">
        <f t="shared" si="21"/>
        <v>2</v>
      </c>
      <c r="T155" s="122">
        <f t="shared" si="22"/>
        <v>7</v>
      </c>
      <c r="U155" s="125">
        <f t="shared" si="23"/>
        <v>4</v>
      </c>
      <c r="V155" s="122">
        <f t="shared" si="24"/>
        <v>3</v>
      </c>
      <c r="AA155" s="21">
        <v>10.0</v>
      </c>
      <c r="AB155" s="63" t="s">
        <v>43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0"/>
      <c r="K156" s="121">
        <f t="shared" si="17"/>
        <v>0</v>
      </c>
      <c r="L156" s="122">
        <f t="shared" si="18"/>
        <v>3</v>
      </c>
      <c r="M156" s="120"/>
      <c r="N156" s="139">
        <v>11.0</v>
      </c>
      <c r="O156" s="139" t="s">
        <v>33</v>
      </c>
      <c r="P156" s="122">
        <f t="shared" si="19"/>
        <v>8</v>
      </c>
      <c r="Q156" s="124">
        <f t="shared" si="20"/>
        <v>3</v>
      </c>
      <c r="S156" s="125">
        <f t="shared" si="21"/>
        <v>2</v>
      </c>
      <c r="T156" s="122">
        <f t="shared" si="22"/>
        <v>6</v>
      </c>
      <c r="U156" s="125">
        <f t="shared" si="23"/>
        <v>5</v>
      </c>
      <c r="V156" s="122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143</v>
      </c>
      <c r="F157" s="13">
        <v>1.0</v>
      </c>
      <c r="G157" s="30" t="s">
        <v>24</v>
      </c>
      <c r="H157" s="13">
        <v>2.0</v>
      </c>
      <c r="I157" s="14" t="s">
        <v>59</v>
      </c>
      <c r="J157" s="120"/>
      <c r="K157" s="121">
        <f t="shared" si="17"/>
        <v>1</v>
      </c>
      <c r="L157" s="122">
        <f t="shared" si="18"/>
        <v>2</v>
      </c>
      <c r="M157" s="120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43</v>
      </c>
      <c r="J158" s="120"/>
      <c r="K158" s="121">
        <f t="shared" si="17"/>
        <v>3</v>
      </c>
      <c r="L158" s="122">
        <f t="shared" si="18"/>
        <v>0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0"/>
      <c r="K159" s="121">
        <f t="shared" si="17"/>
        <v>3</v>
      </c>
      <c r="L159" s="122">
        <f t="shared" si="18"/>
        <v>0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143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59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</row>
    <row r="164" ht="15.75" customHeight="1">
      <c r="A164" s="116">
        <v>4.0</v>
      </c>
      <c r="B164" s="132"/>
      <c r="C164" s="134"/>
      <c r="D164" s="134"/>
      <c r="E164" s="14" t="s">
        <v>43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0"/>
      <c r="K165" s="121">
        <f t="shared" si="17"/>
        <v>0</v>
      </c>
      <c r="L165" s="122">
        <f t="shared" si="18"/>
        <v>3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207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0"/>
      <c r="K167" s="121">
        <f t="shared" si="17"/>
        <v>2</v>
      </c>
      <c r="L167" s="122">
        <f t="shared" si="18"/>
        <v>1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164</v>
      </c>
      <c r="D168" s="12" t="s">
        <v>22</v>
      </c>
      <c r="E168" s="14" t="s">
        <v>143</v>
      </c>
      <c r="F168" s="13">
        <v>2.0</v>
      </c>
      <c r="G168" s="30" t="s">
        <v>24</v>
      </c>
      <c r="H168" s="13">
        <v>1.0</v>
      </c>
      <c r="I168" s="14" t="s">
        <v>205</v>
      </c>
      <c r="J168" s="120"/>
      <c r="K168" s="121">
        <f t="shared" si="17"/>
        <v>2</v>
      </c>
      <c r="L168" s="122">
        <f t="shared" si="18"/>
        <v>1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0"/>
      <c r="K169" s="121">
        <f t="shared" si="17"/>
        <v>0</v>
      </c>
      <c r="L169" s="122">
        <f t="shared" si="18"/>
        <v>3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43</v>
      </c>
      <c r="F170" s="13">
        <v>1.0</v>
      </c>
      <c r="G170" s="30" t="s">
        <v>24</v>
      </c>
      <c r="H170" s="13">
        <v>2.0</v>
      </c>
      <c r="I170" s="14" t="s">
        <v>62</v>
      </c>
      <c r="J170" s="120"/>
      <c r="K170" s="121">
        <f t="shared" si="17"/>
        <v>1</v>
      </c>
      <c r="L170" s="122">
        <f t="shared" si="18"/>
        <v>2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0">
        <v>2.0</v>
      </c>
      <c r="G171" s="30" t="s">
        <v>24</v>
      </c>
      <c r="H171" s="13">
        <v>0.0</v>
      </c>
      <c r="I171" s="14" t="s">
        <v>113</v>
      </c>
      <c r="J171" s="120"/>
      <c r="K171" s="121">
        <f t="shared" si="17"/>
        <v>3</v>
      </c>
      <c r="L171" s="122">
        <f t="shared" si="18"/>
        <v>0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0">
        <v>2.0</v>
      </c>
      <c r="G172" s="30" t="s">
        <v>24</v>
      </c>
      <c r="H172" s="13">
        <v>0.0</v>
      </c>
      <c r="I172" s="14" t="s">
        <v>33</v>
      </c>
      <c r="J172" s="120"/>
      <c r="K172" s="121">
        <f t="shared" si="17"/>
        <v>3</v>
      </c>
      <c r="L172" s="122">
        <f t="shared" si="18"/>
        <v>0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0">
        <v>0.0</v>
      </c>
      <c r="G173" s="30" t="s">
        <v>24</v>
      </c>
      <c r="H173" s="13">
        <v>2.0</v>
      </c>
      <c r="I173" s="14" t="s">
        <v>143</v>
      </c>
      <c r="J173" s="120"/>
      <c r="K173" s="121">
        <f t="shared" si="17"/>
        <v>0</v>
      </c>
      <c r="L173" s="122">
        <f t="shared" si="18"/>
        <v>3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205</v>
      </c>
      <c r="F174" s="140">
        <v>0.0</v>
      </c>
      <c r="G174" s="30" t="s">
        <v>24</v>
      </c>
      <c r="H174" s="13">
        <v>2.0</v>
      </c>
      <c r="I174" s="14" t="s">
        <v>59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55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2"/>
      <c r="C176" s="133"/>
      <c r="D176" s="134"/>
      <c r="E176" s="14" t="s">
        <v>62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2"/>
      <c r="C177" s="134"/>
      <c r="D177" s="134"/>
      <c r="E177" s="14" t="s">
        <v>113</v>
      </c>
      <c r="F177" s="30"/>
      <c r="G177" s="30" t="s">
        <v>24</v>
      </c>
      <c r="H177" s="30"/>
      <c r="I177" s="14" t="s">
        <v>43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2"/>
      <c r="C178" s="134"/>
      <c r="D178" s="134"/>
      <c r="E178" s="14" t="s">
        <v>33</v>
      </c>
      <c r="F178" s="30"/>
      <c r="G178" s="30" t="s">
        <v>24</v>
      </c>
      <c r="H178" s="30"/>
      <c r="I178" s="14" t="s">
        <v>56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2"/>
      <c r="C179" s="133"/>
      <c r="D179" s="134"/>
      <c r="E179" s="14" t="s">
        <v>143</v>
      </c>
      <c r="F179" s="30"/>
      <c r="G179" s="30" t="s">
        <v>24</v>
      </c>
      <c r="H179" s="30"/>
      <c r="I179" s="14" t="s">
        <v>122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2"/>
      <c r="C180" s="134"/>
      <c r="D180" s="134"/>
      <c r="E180" s="14" t="s">
        <v>59</v>
      </c>
      <c r="F180" s="30"/>
      <c r="G180" s="30" t="s">
        <v>24</v>
      </c>
      <c r="H180" s="30"/>
      <c r="I180" s="14" t="s">
        <v>45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2"/>
      <c r="C181" s="134"/>
      <c r="D181" s="134"/>
      <c r="E181" s="14" t="s">
        <v>55</v>
      </c>
      <c r="F181" s="30"/>
      <c r="G181" s="30" t="s">
        <v>24</v>
      </c>
      <c r="H181" s="30"/>
      <c r="I181" s="14" t="s">
        <v>205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2"/>
      <c r="C182" s="133"/>
      <c r="D182" s="134"/>
      <c r="E182" s="14" t="s">
        <v>62</v>
      </c>
      <c r="F182" s="30"/>
      <c r="G182" s="30" t="s">
        <v>24</v>
      </c>
      <c r="H182" s="30"/>
      <c r="I182" s="14" t="s">
        <v>113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2"/>
      <c r="C183" s="133"/>
      <c r="D183" s="134"/>
      <c r="E183" s="14" t="s">
        <v>43</v>
      </c>
      <c r="F183" s="30"/>
      <c r="G183" s="30" t="s">
        <v>24</v>
      </c>
      <c r="H183" s="30"/>
      <c r="I183" s="14" t="s">
        <v>33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2"/>
      <c r="C184" s="133"/>
      <c r="D184" s="134"/>
      <c r="E184" s="14" t="s">
        <v>56</v>
      </c>
      <c r="F184" s="30"/>
      <c r="G184" s="30" t="s">
        <v>24</v>
      </c>
      <c r="H184" s="30"/>
      <c r="I184" s="14" t="s">
        <v>143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2"/>
      <c r="C185" s="133"/>
      <c r="D185" s="134"/>
      <c r="E185" s="14" t="s">
        <v>122</v>
      </c>
      <c r="F185" s="30"/>
      <c r="G185" s="30" t="s">
        <v>24</v>
      </c>
      <c r="H185" s="30"/>
      <c r="I185" s="14" t="s">
        <v>59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2"/>
      <c r="C186" s="134"/>
      <c r="D186" s="134"/>
      <c r="E186" s="14" t="s">
        <v>45</v>
      </c>
      <c r="F186" s="30"/>
      <c r="G186" s="30" t="s">
        <v>24</v>
      </c>
      <c r="H186" s="30"/>
      <c r="I186" s="14" t="s">
        <v>55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205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2"/>
      <c r="C188" s="133"/>
      <c r="D188" s="134"/>
      <c r="E188" s="14" t="s">
        <v>113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2"/>
      <c r="C189" s="133"/>
      <c r="D189" s="134"/>
      <c r="E189" s="14" t="s">
        <v>33</v>
      </c>
      <c r="F189" s="30"/>
      <c r="G189" s="30" t="s">
        <v>24</v>
      </c>
      <c r="H189" s="30"/>
      <c r="I189" s="14" t="s">
        <v>62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2"/>
      <c r="C190" s="133"/>
      <c r="D190" s="134"/>
      <c r="E190" s="14" t="s">
        <v>143</v>
      </c>
      <c r="F190" s="30"/>
      <c r="G190" s="30" t="s">
        <v>24</v>
      </c>
      <c r="H190" s="30"/>
      <c r="I190" s="14" t="s">
        <v>43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2"/>
      <c r="C191" s="133"/>
      <c r="D191" s="134"/>
      <c r="E191" s="14" t="s">
        <v>59</v>
      </c>
      <c r="F191" s="30"/>
      <c r="G191" s="30" t="s">
        <v>24</v>
      </c>
      <c r="H191" s="30"/>
      <c r="I191" s="14" t="s">
        <v>56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2"/>
      <c r="C192" s="134"/>
      <c r="D192" s="134"/>
      <c r="E192" s="14" t="s">
        <v>55</v>
      </c>
      <c r="F192" s="30"/>
      <c r="G192" s="30" t="s">
        <v>24</v>
      </c>
      <c r="H192" s="30"/>
      <c r="I192" s="14" t="s">
        <v>122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2"/>
      <c r="C193" s="134"/>
      <c r="D193" s="134"/>
      <c r="E193" s="14" t="s">
        <v>205</v>
      </c>
      <c r="F193" s="30"/>
      <c r="G193" s="30" t="s">
        <v>24</v>
      </c>
      <c r="H193" s="30"/>
      <c r="I193" s="14" t="s">
        <v>45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2"/>
      <c r="C194" s="133"/>
      <c r="D194" s="134"/>
      <c r="E194" s="14" t="s">
        <v>113</v>
      </c>
      <c r="F194" s="30"/>
      <c r="G194" s="30" t="s">
        <v>24</v>
      </c>
      <c r="H194" s="30"/>
      <c r="I194" s="14" t="s">
        <v>33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2"/>
      <c r="C195" s="133"/>
      <c r="D195" s="134"/>
      <c r="E195" s="14" t="s">
        <v>62</v>
      </c>
      <c r="F195" s="30"/>
      <c r="G195" s="30" t="s">
        <v>24</v>
      </c>
      <c r="H195" s="30"/>
      <c r="I195" s="14" t="s">
        <v>143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2"/>
      <c r="C196" s="133"/>
      <c r="D196" s="134"/>
      <c r="E196" s="14" t="s">
        <v>43</v>
      </c>
      <c r="F196" s="30"/>
      <c r="G196" s="30" t="s">
        <v>24</v>
      </c>
      <c r="H196" s="30"/>
      <c r="I196" s="14" t="s">
        <v>59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2"/>
      <c r="C197" s="133"/>
      <c r="D197" s="134"/>
      <c r="E197" s="14" t="s">
        <v>56</v>
      </c>
      <c r="F197" s="30"/>
      <c r="G197" s="30" t="s">
        <v>24</v>
      </c>
      <c r="H197" s="30"/>
      <c r="I197" s="14" t="s">
        <v>55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2"/>
      <c r="C198" s="134"/>
      <c r="D198" s="134"/>
      <c r="E198" s="14" t="s">
        <v>122</v>
      </c>
      <c r="F198" s="30"/>
      <c r="G198" s="30" t="s">
        <v>24</v>
      </c>
      <c r="H198" s="30"/>
      <c r="I198" s="14" t="s">
        <v>205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45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33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2"/>
      <c r="C201" s="133"/>
      <c r="D201" s="134"/>
      <c r="E201" s="14" t="s">
        <v>143</v>
      </c>
      <c r="F201" s="30"/>
      <c r="G201" s="30" t="s">
        <v>24</v>
      </c>
      <c r="H201" s="30"/>
      <c r="I201" s="14" t="s">
        <v>113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2"/>
      <c r="C202" s="133"/>
      <c r="D202" s="134"/>
      <c r="E202" s="14" t="s">
        <v>59</v>
      </c>
      <c r="F202" s="30"/>
      <c r="G202" s="30" t="s">
        <v>24</v>
      </c>
      <c r="H202" s="30"/>
      <c r="I202" s="14" t="s">
        <v>62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2"/>
      <c r="C203" s="133"/>
      <c r="D203" s="134"/>
      <c r="E203" s="14" t="s">
        <v>55</v>
      </c>
      <c r="F203" s="30"/>
      <c r="G203" s="30" t="s">
        <v>24</v>
      </c>
      <c r="H203" s="30"/>
      <c r="I203" s="14" t="s">
        <v>43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2"/>
      <c r="C204" s="134"/>
      <c r="D204" s="134"/>
      <c r="E204" s="14" t="s">
        <v>205</v>
      </c>
      <c r="F204" s="30"/>
      <c r="G204" s="30" t="s">
        <v>24</v>
      </c>
      <c r="H204" s="30"/>
      <c r="I204" s="14" t="s">
        <v>56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2"/>
      <c r="C205" s="134"/>
      <c r="D205" s="134"/>
      <c r="E205" s="14" t="s">
        <v>45</v>
      </c>
      <c r="F205" s="30"/>
      <c r="G205" s="30" t="s">
        <v>24</v>
      </c>
      <c r="H205" s="30"/>
      <c r="I205" s="14" t="s">
        <v>122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2"/>
      <c r="C206" s="133"/>
      <c r="D206" s="134"/>
      <c r="E206" s="14" t="s">
        <v>33</v>
      </c>
      <c r="F206" s="13"/>
      <c r="G206" s="30" t="s">
        <v>24</v>
      </c>
      <c r="H206" s="13"/>
      <c r="I206" s="14" t="s">
        <v>143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2"/>
      <c r="C207" s="133"/>
      <c r="D207" s="134"/>
      <c r="E207" s="14" t="s">
        <v>113</v>
      </c>
      <c r="F207" s="30"/>
      <c r="G207" s="30" t="s">
        <v>24</v>
      </c>
      <c r="H207" s="30"/>
      <c r="I207" s="14" t="s">
        <v>59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2"/>
      <c r="C208" s="133"/>
      <c r="D208" s="134"/>
      <c r="E208" s="14" t="s">
        <v>62</v>
      </c>
      <c r="F208" s="30"/>
      <c r="G208" s="30" t="s">
        <v>24</v>
      </c>
      <c r="H208" s="30"/>
      <c r="I208" s="14" t="s">
        <v>55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2"/>
      <c r="C209" s="133"/>
      <c r="D209" s="134"/>
      <c r="E209" s="14" t="s">
        <v>43</v>
      </c>
      <c r="F209" s="30"/>
      <c r="G209" s="30" t="s">
        <v>24</v>
      </c>
      <c r="H209" s="30"/>
      <c r="I209" s="14" t="s">
        <v>205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2"/>
      <c r="C210" s="134"/>
      <c r="D210" s="134"/>
      <c r="E210" s="14" t="s">
        <v>56</v>
      </c>
      <c r="F210" s="13"/>
      <c r="G210" s="30" t="s">
        <v>24</v>
      </c>
      <c r="H210" s="13"/>
      <c r="I210" s="14" t="s">
        <v>45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2"/>
      <c r="C211" s="134"/>
      <c r="D211" s="134"/>
      <c r="E211" s="14" t="s">
        <v>122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195</v>
      </c>
      <c r="U217" s="147" t="s">
        <v>196</v>
      </c>
      <c r="V217" s="147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195</v>
      </c>
      <c r="AH217" s="148" t="s">
        <v>196</v>
      </c>
      <c r="AI217" s="148" t="s">
        <v>197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5" t="s">
        <v>210</v>
      </c>
      <c r="I1" s="119"/>
      <c r="AA1" s="3"/>
      <c r="AB1" s="119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0"/>
      <c r="K3" s="121">
        <f t="shared" ref="K3:K68" si="1">IFS(F3=H3+2,3,F3=H3-2,0,F3=H3+1,2,F3=H3-1,1,F3="","")</f>
        <v>3</v>
      </c>
      <c r="L3" s="122">
        <f t="shared" ref="L3:L68" si="2">IFS(H3=F3+2,3,H3=F3-2,0,H3=F3+1,2,H3=F3-1,1,H3="","")</f>
        <v>0</v>
      </c>
      <c r="M3" s="120"/>
      <c r="N3" s="122">
        <v>1.0</v>
      </c>
      <c r="O3" s="123" t="s">
        <v>33</v>
      </c>
      <c r="P3" s="122">
        <f t="shared" ref="P3:P14" si="3">SUMIF(E$3:E$68,O3,K$3:K$68)+SUMIF(I$3:I$68,O3,L$3:L$68)</f>
        <v>11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8</v>
      </c>
      <c r="U3" s="125">
        <f t="shared" ref="U3:U14" si="7">SUMIF(E$3:E$68,O3,H$3:H$68)+SUMIF(I$3:I$68,O3,F$3:F$68)</f>
        <v>3</v>
      </c>
      <c r="V3" s="122">
        <f t="shared" ref="V3:V14" si="8">T3-U3</f>
        <v>5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114</v>
      </c>
      <c r="P4" s="122">
        <f t="shared" si="3"/>
        <v>1</v>
      </c>
      <c r="Q4" s="124">
        <f t="shared" si="4"/>
        <v>0</v>
      </c>
      <c r="R4" s="124"/>
      <c r="S4" s="125">
        <f t="shared" si="5"/>
        <v>5</v>
      </c>
      <c r="T4" s="122">
        <f t="shared" si="6"/>
        <v>1</v>
      </c>
      <c r="U4" s="125">
        <f t="shared" si="7"/>
        <v>10</v>
      </c>
      <c r="V4" s="122">
        <f t="shared" si="8"/>
        <v>-9</v>
      </c>
      <c r="X4" s="109" t="s">
        <v>61</v>
      </c>
      <c r="Y4" s="109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61</v>
      </c>
      <c r="J5" s="120"/>
      <c r="K5" s="121">
        <f t="shared" si="1"/>
        <v>3</v>
      </c>
      <c r="L5" s="122">
        <f t="shared" si="2"/>
        <v>0</v>
      </c>
      <c r="M5" s="120"/>
      <c r="N5" s="122">
        <v>3.0</v>
      </c>
      <c r="O5" s="123" t="s">
        <v>96</v>
      </c>
      <c r="P5" s="122">
        <f t="shared" si="3"/>
        <v>4</v>
      </c>
      <c r="Q5" s="124">
        <f t="shared" si="4"/>
        <v>1</v>
      </c>
      <c r="R5" s="124"/>
      <c r="S5" s="125">
        <f t="shared" si="5"/>
        <v>4</v>
      </c>
      <c r="T5" s="122">
        <f t="shared" si="6"/>
        <v>3</v>
      </c>
      <c r="U5" s="125">
        <f t="shared" si="7"/>
        <v>8</v>
      </c>
      <c r="V5" s="122">
        <f t="shared" si="8"/>
        <v>-5</v>
      </c>
      <c r="X5" s="109" t="s">
        <v>31</v>
      </c>
      <c r="Y5" s="109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118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41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37</v>
      </c>
      <c r="P7" s="122">
        <f t="shared" si="3"/>
        <v>13</v>
      </c>
      <c r="Q7" s="124">
        <f t="shared" si="4"/>
        <v>4</v>
      </c>
      <c r="R7" s="124"/>
      <c r="S7" s="125">
        <f t="shared" si="5"/>
        <v>1</v>
      </c>
      <c r="T7" s="122">
        <f t="shared" si="6"/>
        <v>9</v>
      </c>
      <c r="U7" s="125">
        <f t="shared" si="7"/>
        <v>2</v>
      </c>
      <c r="V7" s="122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0"/>
      <c r="K8" s="121">
        <f t="shared" si="1"/>
        <v>2</v>
      </c>
      <c r="L8" s="122">
        <f t="shared" si="2"/>
        <v>1</v>
      </c>
      <c r="M8" s="120"/>
      <c r="N8" s="122">
        <v>6.0</v>
      </c>
      <c r="O8" s="123" t="s">
        <v>25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61</v>
      </c>
      <c r="P9" s="122">
        <f t="shared" si="3"/>
        <v>6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6</v>
      </c>
      <c r="V9" s="122">
        <f t="shared" si="8"/>
        <v>-2</v>
      </c>
      <c r="AA9" s="21">
        <v>7.0</v>
      </c>
      <c r="AB9" s="63" t="s">
        <v>118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0"/>
      <c r="K10" s="121">
        <f t="shared" si="1"/>
        <v>3</v>
      </c>
      <c r="L10" s="122">
        <f t="shared" si="2"/>
        <v>0</v>
      </c>
      <c r="M10" s="120"/>
      <c r="N10" s="122">
        <v>8.0</v>
      </c>
      <c r="O10" s="123" t="s">
        <v>42</v>
      </c>
      <c r="P10" s="122">
        <f t="shared" si="3"/>
        <v>15</v>
      </c>
      <c r="Q10" s="124">
        <f t="shared" si="4"/>
        <v>5</v>
      </c>
      <c r="R10" s="124"/>
      <c r="S10" s="125">
        <f t="shared" si="5"/>
        <v>0</v>
      </c>
      <c r="T10" s="122">
        <f t="shared" si="6"/>
        <v>10</v>
      </c>
      <c r="U10" s="125">
        <f t="shared" si="7"/>
        <v>0</v>
      </c>
      <c r="V10" s="122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0"/>
      <c r="K11" s="121">
        <f t="shared" si="1"/>
        <v>3</v>
      </c>
      <c r="L11" s="122">
        <f t="shared" si="2"/>
        <v>0</v>
      </c>
      <c r="M11" s="120"/>
      <c r="N11" s="122">
        <v>9.0</v>
      </c>
      <c r="O11" s="123" t="s">
        <v>40</v>
      </c>
      <c r="P11" s="122">
        <f t="shared" si="3"/>
        <v>1</v>
      </c>
      <c r="Q11" s="124">
        <f t="shared" si="4"/>
        <v>0</v>
      </c>
      <c r="R11" s="124"/>
      <c r="S11" s="125">
        <f t="shared" si="5"/>
        <v>5</v>
      </c>
      <c r="T11" s="122">
        <f t="shared" si="6"/>
        <v>1</v>
      </c>
      <c r="U11" s="125">
        <f t="shared" si="7"/>
        <v>10</v>
      </c>
      <c r="V11" s="122">
        <f t="shared" si="8"/>
        <v>-9</v>
      </c>
      <c r="AA11" s="96" t="s">
        <v>102</v>
      </c>
      <c r="AB11" s="63" t="s">
        <v>96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42</v>
      </c>
      <c r="J12" s="120"/>
      <c r="K12" s="121">
        <f t="shared" si="1"/>
        <v>0</v>
      </c>
      <c r="L12" s="122">
        <f t="shared" si="2"/>
        <v>3</v>
      </c>
      <c r="M12" s="120"/>
      <c r="N12" s="122">
        <v>10.0</v>
      </c>
      <c r="O12" s="127" t="s">
        <v>63</v>
      </c>
      <c r="P12" s="122">
        <f t="shared" si="3"/>
        <v>9</v>
      </c>
      <c r="Q12" s="124">
        <f t="shared" si="4"/>
        <v>3</v>
      </c>
      <c r="R12" s="124"/>
      <c r="S12" s="125">
        <f t="shared" si="5"/>
        <v>2</v>
      </c>
      <c r="T12" s="122">
        <f t="shared" si="6"/>
        <v>6</v>
      </c>
      <c r="U12" s="125">
        <f t="shared" si="7"/>
        <v>4</v>
      </c>
      <c r="V12" s="122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113</v>
      </c>
      <c r="P13" s="122">
        <f t="shared" si="3"/>
        <v>0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0</v>
      </c>
      <c r="U13" s="125">
        <f t="shared" si="7"/>
        <v>10</v>
      </c>
      <c r="V13" s="122">
        <f t="shared" si="8"/>
        <v>-10</v>
      </c>
      <c r="AA13" s="70">
        <v>11.0</v>
      </c>
      <c r="AB13" s="63" t="s">
        <v>40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0"/>
      <c r="K14" s="121">
        <f t="shared" si="1"/>
        <v>0</v>
      </c>
      <c r="L14" s="122">
        <f t="shared" si="2"/>
        <v>3</v>
      </c>
      <c r="M14" s="120"/>
      <c r="N14" s="129">
        <v>12.0</v>
      </c>
      <c r="O14" s="128" t="s">
        <v>116</v>
      </c>
      <c r="P14" s="122">
        <f t="shared" si="3"/>
        <v>10</v>
      </c>
      <c r="Q14" s="124">
        <f t="shared" si="4"/>
        <v>4</v>
      </c>
      <c r="S14" s="125">
        <f t="shared" si="5"/>
        <v>1</v>
      </c>
      <c r="T14" s="122">
        <f t="shared" si="6"/>
        <v>9</v>
      </c>
      <c r="U14" s="125">
        <f t="shared" si="7"/>
        <v>5</v>
      </c>
      <c r="V14" s="122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0"/>
      <c r="K15" s="121">
        <f t="shared" si="1"/>
        <v>0</v>
      </c>
      <c r="L15" s="122">
        <f t="shared" si="2"/>
        <v>3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20"/>
      <c r="K17" s="121">
        <f t="shared" si="1"/>
        <v>3</v>
      </c>
      <c r="L17" s="122">
        <f t="shared" si="2"/>
        <v>0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42</v>
      </c>
      <c r="F18" s="13">
        <v>2.0</v>
      </c>
      <c r="G18" s="30" t="s">
        <v>24</v>
      </c>
      <c r="H18" s="13">
        <v>0.0</v>
      </c>
      <c r="I18" s="14" t="s">
        <v>113</v>
      </c>
      <c r="J18" s="131"/>
      <c r="K18" s="121">
        <f t="shared" si="1"/>
        <v>3</v>
      </c>
      <c r="L18" s="122">
        <f t="shared" si="2"/>
        <v>0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0"/>
      <c r="K21" s="121">
        <f t="shared" si="1"/>
        <v>1</v>
      </c>
      <c r="L21" s="122">
        <f t="shared" si="2"/>
        <v>2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0"/>
      <c r="K22" s="121">
        <f t="shared" si="1"/>
        <v>3</v>
      </c>
      <c r="L22" s="122">
        <f t="shared" si="2"/>
        <v>0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177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42</v>
      </c>
      <c r="J25" s="120"/>
      <c r="K25" s="121">
        <f t="shared" si="1"/>
        <v>0</v>
      </c>
      <c r="L25" s="122">
        <f t="shared" si="2"/>
        <v>3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0"/>
      <c r="K27" s="121">
        <f t="shared" si="1"/>
        <v>3</v>
      </c>
      <c r="L27" s="122">
        <f t="shared" si="2"/>
        <v>0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40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0"/>
      <c r="K30" s="121">
        <f t="shared" si="1"/>
        <v>3</v>
      </c>
      <c r="L30" s="122">
        <f t="shared" si="2"/>
        <v>0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42</v>
      </c>
      <c r="F31" s="13">
        <v>2.0</v>
      </c>
      <c r="G31" s="30" t="s">
        <v>24</v>
      </c>
      <c r="H31" s="13">
        <v>0.0</v>
      </c>
      <c r="I31" s="14" t="s">
        <v>118</v>
      </c>
      <c r="J31" s="120"/>
      <c r="K31" s="121">
        <f t="shared" si="1"/>
        <v>3</v>
      </c>
      <c r="L31" s="122">
        <f t="shared" si="2"/>
        <v>0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2"/>
      <c r="C33" s="133"/>
      <c r="D33" s="134"/>
      <c r="E33" s="14" t="s">
        <v>61</v>
      </c>
      <c r="F33" s="30"/>
      <c r="G33" s="30" t="s">
        <v>24</v>
      </c>
      <c r="H33" s="30"/>
      <c r="I33" s="14" t="s">
        <v>116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2"/>
      <c r="C34" s="133"/>
      <c r="D34" s="134"/>
      <c r="E34" s="14" t="s">
        <v>40</v>
      </c>
      <c r="F34" s="30"/>
      <c r="G34" s="30" t="s">
        <v>24</v>
      </c>
      <c r="H34" s="30"/>
      <c r="I34" s="14" t="s">
        <v>37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2"/>
      <c r="C35" s="133"/>
      <c r="D35" s="134"/>
      <c r="E35" s="14" t="s">
        <v>113</v>
      </c>
      <c r="F35" s="30"/>
      <c r="G35" s="30" t="s">
        <v>24</v>
      </c>
      <c r="H35" s="30"/>
      <c r="I35" s="14" t="s">
        <v>96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2"/>
      <c r="C36" s="133"/>
      <c r="D36" s="134"/>
      <c r="E36" s="14" t="s">
        <v>114</v>
      </c>
      <c r="F36" s="30"/>
      <c r="G36" s="30" t="s">
        <v>24</v>
      </c>
      <c r="H36" s="30"/>
      <c r="I36" s="14" t="s">
        <v>33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2"/>
      <c r="C37" s="133"/>
      <c r="D37" s="134"/>
      <c r="E37" s="14" t="s">
        <v>118</v>
      </c>
      <c r="F37" s="30"/>
      <c r="G37" s="30" t="s">
        <v>24</v>
      </c>
      <c r="H37" s="30"/>
      <c r="I37" s="14" t="s">
        <v>63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2"/>
      <c r="C38" s="133"/>
      <c r="D38" s="134"/>
      <c r="E38" s="14" t="s">
        <v>25</v>
      </c>
      <c r="F38" s="30"/>
      <c r="G38" s="30" t="s">
        <v>24</v>
      </c>
      <c r="H38" s="30"/>
      <c r="I38" s="14" t="s">
        <v>42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2"/>
      <c r="C39" s="134"/>
      <c r="D39" s="134"/>
      <c r="E39" s="14" t="s">
        <v>61</v>
      </c>
      <c r="F39" s="30"/>
      <c r="G39" s="30" t="s">
        <v>24</v>
      </c>
      <c r="H39" s="30"/>
      <c r="I39" s="14" t="s">
        <v>40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2"/>
      <c r="C40" s="134"/>
      <c r="D40" s="134"/>
      <c r="E40" s="14" t="s">
        <v>37</v>
      </c>
      <c r="F40" s="30"/>
      <c r="G40" s="30" t="s">
        <v>24</v>
      </c>
      <c r="H40" s="30"/>
      <c r="I40" s="14" t="s">
        <v>113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2"/>
      <c r="C41" s="134"/>
      <c r="D41" s="135"/>
      <c r="E41" s="40" t="s">
        <v>96</v>
      </c>
      <c r="F41" s="30"/>
      <c r="G41" s="30" t="s">
        <v>24</v>
      </c>
      <c r="H41" s="30"/>
      <c r="I41" s="40" t="s">
        <v>114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2"/>
      <c r="C42" s="134"/>
      <c r="D42" s="134"/>
      <c r="E42" s="14" t="s">
        <v>33</v>
      </c>
      <c r="F42" s="30"/>
      <c r="G42" s="30" t="s">
        <v>24</v>
      </c>
      <c r="H42" s="30"/>
      <c r="I42" s="14" t="s">
        <v>118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2"/>
      <c r="C43" s="134"/>
      <c r="D43" s="134"/>
      <c r="E43" s="14" t="s">
        <v>63</v>
      </c>
      <c r="F43" s="30"/>
      <c r="G43" s="30" t="s">
        <v>24</v>
      </c>
      <c r="H43" s="30"/>
      <c r="I43" s="14" t="s">
        <v>25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2"/>
      <c r="C44" s="134"/>
      <c r="D44" s="134"/>
      <c r="E44" s="14" t="s">
        <v>116</v>
      </c>
      <c r="F44" s="30"/>
      <c r="G44" s="30" t="s">
        <v>24</v>
      </c>
      <c r="H44" s="30"/>
      <c r="I44" s="14" t="s">
        <v>42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2"/>
      <c r="C45" s="133"/>
      <c r="D45" s="134"/>
      <c r="E45" s="14" t="s">
        <v>40</v>
      </c>
      <c r="F45" s="30"/>
      <c r="G45" s="30" t="s">
        <v>24</v>
      </c>
      <c r="H45" s="30"/>
      <c r="I45" s="14" t="s">
        <v>116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6"/>
      <c r="C46" s="133"/>
      <c r="D46" s="134"/>
      <c r="E46" s="14" t="s">
        <v>113</v>
      </c>
      <c r="F46" s="30"/>
      <c r="G46" s="30" t="s">
        <v>24</v>
      </c>
      <c r="H46" s="30"/>
      <c r="I46" s="14" t="s">
        <v>61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6"/>
      <c r="C47" s="133"/>
      <c r="D47" s="134"/>
      <c r="E47" s="14" t="s">
        <v>114</v>
      </c>
      <c r="F47" s="30"/>
      <c r="G47" s="30" t="s">
        <v>24</v>
      </c>
      <c r="H47" s="30"/>
      <c r="I47" s="14" t="s">
        <v>37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6"/>
      <c r="C48" s="133"/>
      <c r="D48" s="134"/>
      <c r="E48" s="40" t="s">
        <v>118</v>
      </c>
      <c r="F48" s="30"/>
      <c r="G48" s="30" t="s">
        <v>24</v>
      </c>
      <c r="H48" s="30"/>
      <c r="I48" s="40" t="s">
        <v>96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6"/>
      <c r="C49" s="133"/>
      <c r="D49" s="134"/>
      <c r="E49" s="40" t="s">
        <v>25</v>
      </c>
      <c r="F49" s="30"/>
      <c r="G49" s="30" t="s">
        <v>24</v>
      </c>
      <c r="H49" s="30"/>
      <c r="I49" s="40" t="s">
        <v>33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6"/>
      <c r="C50" s="133"/>
      <c r="D50" s="134"/>
      <c r="E50" s="14" t="s">
        <v>42</v>
      </c>
      <c r="F50" s="30"/>
      <c r="G50" s="30" t="s">
        <v>24</v>
      </c>
      <c r="H50" s="30"/>
      <c r="I50" s="14" t="s">
        <v>63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2"/>
      <c r="C51" s="133"/>
      <c r="D51" s="134"/>
      <c r="E51" s="14" t="s">
        <v>40</v>
      </c>
      <c r="F51" s="134"/>
      <c r="G51" s="30" t="s">
        <v>24</v>
      </c>
      <c r="H51" s="30"/>
      <c r="I51" s="14" t="s">
        <v>113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2"/>
      <c r="C52" s="133"/>
      <c r="D52" s="134"/>
      <c r="E52" s="14" t="s">
        <v>61</v>
      </c>
      <c r="F52" s="134"/>
      <c r="G52" s="30" t="s">
        <v>24</v>
      </c>
      <c r="H52" s="30"/>
      <c r="I52" s="14" t="s">
        <v>114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2"/>
      <c r="C53" s="133"/>
      <c r="D53" s="134"/>
      <c r="E53" s="14" t="s">
        <v>37</v>
      </c>
      <c r="F53" s="134"/>
      <c r="G53" s="30" t="s">
        <v>24</v>
      </c>
      <c r="H53" s="30"/>
      <c r="I53" s="14" t="s">
        <v>118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2"/>
      <c r="C54" s="133"/>
      <c r="D54" s="134"/>
      <c r="E54" s="14" t="s">
        <v>96</v>
      </c>
      <c r="F54" s="134"/>
      <c r="G54" s="30" t="s">
        <v>24</v>
      </c>
      <c r="H54" s="30"/>
      <c r="I54" s="14" t="s">
        <v>25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2"/>
      <c r="C55" s="133"/>
      <c r="D55" s="134"/>
      <c r="E55" s="14" t="s">
        <v>33</v>
      </c>
      <c r="F55" s="134"/>
      <c r="G55" s="30" t="s">
        <v>24</v>
      </c>
      <c r="H55" s="30"/>
      <c r="I55" s="14" t="s">
        <v>42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2"/>
      <c r="C56" s="133"/>
      <c r="D56" s="134"/>
      <c r="E56" s="14" t="s">
        <v>116</v>
      </c>
      <c r="F56" s="134"/>
      <c r="G56" s="30" t="s">
        <v>24</v>
      </c>
      <c r="H56" s="30"/>
      <c r="I56" s="14" t="s">
        <v>63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6"/>
      <c r="C57" s="134"/>
      <c r="D57" s="134"/>
      <c r="E57" s="14" t="s">
        <v>116</v>
      </c>
      <c r="F57" s="30"/>
      <c r="G57" s="30" t="s">
        <v>24</v>
      </c>
      <c r="H57" s="30"/>
      <c r="I57" s="14" t="s">
        <v>113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2"/>
      <c r="C58" s="134"/>
      <c r="D58" s="134"/>
      <c r="E58" s="14" t="s">
        <v>114</v>
      </c>
      <c r="F58" s="30"/>
      <c r="G58" s="30" t="s">
        <v>24</v>
      </c>
      <c r="H58" s="30"/>
      <c r="I58" s="14" t="s">
        <v>40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2"/>
      <c r="C59" s="134"/>
      <c r="D59" s="134"/>
      <c r="E59" s="14" t="s">
        <v>118</v>
      </c>
      <c r="F59" s="30"/>
      <c r="G59" s="30" t="s">
        <v>24</v>
      </c>
      <c r="H59" s="30"/>
      <c r="I59" s="14" t="s">
        <v>61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2"/>
      <c r="C60" s="134"/>
      <c r="D60" s="134"/>
      <c r="E60" s="14" t="s">
        <v>25</v>
      </c>
      <c r="F60" s="30"/>
      <c r="G60" s="30" t="s">
        <v>24</v>
      </c>
      <c r="H60" s="30"/>
      <c r="I60" s="14" t="s">
        <v>37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2"/>
      <c r="C61" s="134"/>
      <c r="D61" s="134"/>
      <c r="E61" s="14" t="s">
        <v>42</v>
      </c>
      <c r="F61" s="30"/>
      <c r="G61" s="30" t="s">
        <v>24</v>
      </c>
      <c r="H61" s="30"/>
      <c r="I61" s="14" t="s">
        <v>96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2"/>
      <c r="C62" s="134"/>
      <c r="D62" s="134"/>
      <c r="E62" s="14" t="s">
        <v>63</v>
      </c>
      <c r="F62" s="30"/>
      <c r="G62" s="30" t="s">
        <v>24</v>
      </c>
      <c r="H62" s="30"/>
      <c r="I62" s="14" t="s">
        <v>33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2"/>
      <c r="C63" s="133"/>
      <c r="D63" s="134"/>
      <c r="E63" s="14" t="s">
        <v>113</v>
      </c>
      <c r="F63" s="30"/>
      <c r="G63" s="30" t="s">
        <v>24</v>
      </c>
      <c r="H63" s="30"/>
      <c r="I63" s="14" t="s">
        <v>114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2"/>
      <c r="C64" s="133"/>
      <c r="D64" s="134"/>
      <c r="E64" s="14" t="s">
        <v>40</v>
      </c>
      <c r="F64" s="30"/>
      <c r="G64" s="30" t="s">
        <v>24</v>
      </c>
      <c r="H64" s="30"/>
      <c r="I64" s="14" t="s">
        <v>118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2"/>
      <c r="C65" s="133"/>
      <c r="D65" s="134"/>
      <c r="E65" s="14" t="s">
        <v>61</v>
      </c>
      <c r="F65" s="30"/>
      <c r="G65" s="30" t="s">
        <v>24</v>
      </c>
      <c r="H65" s="30"/>
      <c r="I65" s="14" t="s">
        <v>25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2"/>
      <c r="C66" s="133"/>
      <c r="D66" s="134"/>
      <c r="E66" s="14" t="s">
        <v>37</v>
      </c>
      <c r="F66" s="30"/>
      <c r="G66" s="30" t="s">
        <v>24</v>
      </c>
      <c r="H66" s="30"/>
      <c r="I66" s="14" t="s">
        <v>42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2"/>
      <c r="C67" s="133"/>
      <c r="D67" s="134"/>
      <c r="E67" s="14" t="s">
        <v>96</v>
      </c>
      <c r="F67" s="30"/>
      <c r="G67" s="30" t="s">
        <v>24</v>
      </c>
      <c r="H67" s="30"/>
      <c r="I67" s="14" t="s">
        <v>63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6"/>
      <c r="C68" s="133"/>
      <c r="D68" s="134"/>
      <c r="E68" s="14" t="s">
        <v>33</v>
      </c>
      <c r="F68" s="13"/>
      <c r="G68" s="30" t="s">
        <v>24</v>
      </c>
      <c r="H68" s="13"/>
      <c r="I68" s="14" t="s">
        <v>116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5" t="s">
        <v>212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161</v>
      </c>
      <c r="F74" s="13">
        <v>0.0</v>
      </c>
      <c r="G74" s="30" t="s">
        <v>24</v>
      </c>
      <c r="H74" s="13">
        <v>2.0</v>
      </c>
      <c r="I74" s="14" t="s">
        <v>54</v>
      </c>
      <c r="J74" s="120"/>
      <c r="K74" s="121">
        <f t="shared" ref="K74:K139" si="9">IFS(F74=H74+2,3,F74=H74-2,0,F74=H74+1,2,F74=H74-1,1,F74="","")</f>
        <v>0</v>
      </c>
      <c r="L74" s="122">
        <f t="shared" ref="L74:L139" si="10">IFS(H74=F74+2,3,H74=F74-2,0,H74=F74+1,2,H74=F74-1,1,H74="","")</f>
        <v>3</v>
      </c>
      <c r="M74" s="120"/>
      <c r="N74" s="122">
        <v>1.0</v>
      </c>
      <c r="O74" s="123" t="s">
        <v>161</v>
      </c>
      <c r="P74" s="122">
        <f t="shared" ref="P74:P84" si="11">SUMIF(E$74:E$139,O74,K$74:K$139)+SUMIF(I$74:I$139,O74,L$74:L$139)</f>
        <v>11</v>
      </c>
      <c r="Q74" s="124">
        <f t="shared" ref="Q74:Q84" si="12">COUNTIFS(E$74:E$139,O74,K$74:K$139,2)+COUNTIFS(I$74:I$139,O74,L$74:L$139,2)+COUNTIFS(E$74:E$139,O74,K$74:K$139,3)+COUNTIFS(I$74:I$139,O74,L$74:L$139,3)</f>
        <v>4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1</v>
      </c>
      <c r="T74" s="122">
        <f t="shared" ref="T74:T84" si="14">SUMIF(E$74:E$139,O74,F$74:F$139)+SUMIF(I$74:I$139,O74,H$74:H$139)</f>
        <v>8</v>
      </c>
      <c r="U74" s="125">
        <f t="shared" ref="U74:U84" si="15">SUMIF(E$74:E$139,O74,H$74:H$139)+SUMIF(I$74:I$139,O74,F$74:F$139)</f>
        <v>3</v>
      </c>
      <c r="V74" s="122">
        <f t="shared" ref="V74:V84" si="16">T74-U74</f>
        <v>5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187</v>
      </c>
      <c r="F75" s="13">
        <v>0.0</v>
      </c>
      <c r="G75" s="30" t="s">
        <v>24</v>
      </c>
      <c r="H75" s="13">
        <v>2.0</v>
      </c>
      <c r="I75" s="14" t="s">
        <v>144</v>
      </c>
      <c r="J75" s="120"/>
      <c r="K75" s="121">
        <f t="shared" si="9"/>
        <v>0</v>
      </c>
      <c r="L75" s="122">
        <f t="shared" si="10"/>
        <v>3</v>
      </c>
      <c r="M75" s="120"/>
      <c r="N75" s="122">
        <v>2.0</v>
      </c>
      <c r="O75" s="123" t="s">
        <v>32</v>
      </c>
      <c r="P75" s="122">
        <f t="shared" si="11"/>
        <v>4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3</v>
      </c>
      <c r="U75" s="125">
        <f t="shared" si="15"/>
        <v>6</v>
      </c>
      <c r="V75" s="122">
        <f t="shared" si="16"/>
        <v>-3</v>
      </c>
      <c r="X75" s="109" t="s">
        <v>33</v>
      </c>
      <c r="Y75" s="109">
        <v>3.0</v>
      </c>
      <c r="AA75" s="96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54</v>
      </c>
      <c r="P76" s="122">
        <f t="shared" si="11"/>
        <v>11</v>
      </c>
      <c r="Q76" s="124">
        <f t="shared" si="12"/>
        <v>4</v>
      </c>
      <c r="R76" s="125"/>
      <c r="S76" s="125">
        <f t="shared" si="13"/>
        <v>0</v>
      </c>
      <c r="T76" s="122">
        <f t="shared" si="14"/>
        <v>8</v>
      </c>
      <c r="U76" s="125">
        <f t="shared" si="15"/>
        <v>1</v>
      </c>
      <c r="V76" s="122">
        <f t="shared" si="16"/>
        <v>7</v>
      </c>
      <c r="X76" s="109" t="s">
        <v>35</v>
      </c>
      <c r="Y76" s="109">
        <v>0.0</v>
      </c>
      <c r="AA76" s="21">
        <v>3.0</v>
      </c>
      <c r="AB76" s="63" t="s">
        <v>161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0"/>
      <c r="K77" s="121">
        <f t="shared" si="9"/>
        <v>0</v>
      </c>
      <c r="L77" s="122">
        <f t="shared" si="10"/>
        <v>3</v>
      </c>
      <c r="M77" s="120"/>
      <c r="N77" s="122">
        <v>4.0</v>
      </c>
      <c r="O77" s="123" t="s">
        <v>158</v>
      </c>
      <c r="P77" s="122">
        <f t="shared" si="11"/>
        <v>9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2</v>
      </c>
      <c r="V77" s="122">
        <f t="shared" si="16"/>
        <v>4</v>
      </c>
      <c r="AA77" s="21">
        <v>4.0</v>
      </c>
      <c r="AB77" s="63" t="s">
        <v>158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158</v>
      </c>
      <c r="F78" s="13">
        <v>2.0</v>
      </c>
      <c r="G78" s="30" t="s">
        <v>24</v>
      </c>
      <c r="H78" s="13">
        <v>0.0</v>
      </c>
      <c r="I78" s="14" t="s">
        <v>213</v>
      </c>
      <c r="J78" s="120"/>
      <c r="K78" s="121">
        <f t="shared" si="9"/>
        <v>3</v>
      </c>
      <c r="L78" s="122">
        <f t="shared" si="10"/>
        <v>0</v>
      </c>
      <c r="M78" s="120"/>
      <c r="N78" s="122">
        <v>5.0</v>
      </c>
      <c r="O78" s="123" t="s">
        <v>144</v>
      </c>
      <c r="P78" s="122">
        <f t="shared" si="11"/>
        <v>7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5</v>
      </c>
      <c r="U78" s="125">
        <f t="shared" si="15"/>
        <v>4</v>
      </c>
      <c r="V78" s="122">
        <f t="shared" si="16"/>
        <v>1</v>
      </c>
      <c r="AA78" s="21">
        <v>5.0</v>
      </c>
      <c r="AB78" s="63" t="s">
        <v>213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32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59</v>
      </c>
      <c r="P79" s="122">
        <f t="shared" si="11"/>
        <v>0</v>
      </c>
      <c r="Q79" s="124">
        <f t="shared" si="12"/>
        <v>0</v>
      </c>
      <c r="R79" s="125"/>
      <c r="S79" s="125">
        <f t="shared" si="13"/>
        <v>4</v>
      </c>
      <c r="T79" s="122">
        <f t="shared" si="14"/>
        <v>0</v>
      </c>
      <c r="U79" s="125">
        <f t="shared" si="15"/>
        <v>8</v>
      </c>
      <c r="V79" s="122">
        <f t="shared" si="16"/>
        <v>-8</v>
      </c>
      <c r="AA79" s="21">
        <v>6.0</v>
      </c>
      <c r="AB79" s="63" t="s">
        <v>144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2"/>
      <c r="C80" s="133"/>
      <c r="D80" s="134"/>
      <c r="E80" s="14" t="s">
        <v>54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38</v>
      </c>
      <c r="P80" s="122">
        <f t="shared" si="11"/>
        <v>0</v>
      </c>
      <c r="Q80" s="124">
        <f t="shared" si="12"/>
        <v>0</v>
      </c>
      <c r="R80" s="125"/>
      <c r="S80" s="125">
        <f t="shared" si="13"/>
        <v>5</v>
      </c>
      <c r="T80" s="122">
        <f t="shared" si="14"/>
        <v>0</v>
      </c>
      <c r="U80" s="125">
        <f t="shared" si="15"/>
        <v>10</v>
      </c>
      <c r="V80" s="122">
        <f t="shared" si="16"/>
        <v>-10</v>
      </c>
      <c r="AA80" s="21">
        <v>7.0</v>
      </c>
      <c r="AB80" s="63" t="s">
        <v>187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161</v>
      </c>
      <c r="J81" s="120"/>
      <c r="K81" s="121">
        <f t="shared" si="9"/>
        <v>0</v>
      </c>
      <c r="L81" s="122">
        <f t="shared" si="10"/>
        <v>3</v>
      </c>
      <c r="M81" s="120"/>
      <c r="N81" s="122">
        <v>8.0</v>
      </c>
      <c r="O81" s="123" t="s">
        <v>23</v>
      </c>
      <c r="P81" s="122">
        <f t="shared" si="11"/>
        <v>12</v>
      </c>
      <c r="Q81" s="124">
        <f t="shared" si="12"/>
        <v>5</v>
      </c>
      <c r="R81" s="125"/>
      <c r="S81" s="125">
        <f t="shared" si="13"/>
        <v>0</v>
      </c>
      <c r="T81" s="122">
        <f t="shared" si="14"/>
        <v>10</v>
      </c>
      <c r="U81" s="125">
        <f t="shared" si="15"/>
        <v>3</v>
      </c>
      <c r="V81" s="122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187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57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0"/>
      <c r="K83" s="121">
        <f t="shared" si="9"/>
        <v>1</v>
      </c>
      <c r="L83" s="122">
        <f t="shared" si="10"/>
        <v>2</v>
      </c>
      <c r="M83" s="120"/>
      <c r="N83" s="122">
        <v>10.0</v>
      </c>
      <c r="O83" s="123" t="s">
        <v>187</v>
      </c>
      <c r="P83" s="122">
        <f t="shared" si="11"/>
        <v>7</v>
      </c>
      <c r="Q83" s="124">
        <f t="shared" si="12"/>
        <v>2</v>
      </c>
      <c r="R83" s="125"/>
      <c r="S83" s="125">
        <f t="shared" si="13"/>
        <v>3</v>
      </c>
      <c r="T83" s="122">
        <f t="shared" si="14"/>
        <v>5</v>
      </c>
      <c r="U83" s="125">
        <f t="shared" si="15"/>
        <v>6</v>
      </c>
      <c r="V83" s="122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149" t="s">
        <v>59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213</v>
      </c>
      <c r="P84" s="122">
        <f t="shared" si="11"/>
        <v>8</v>
      </c>
      <c r="Q84" s="124">
        <f t="shared" si="12"/>
        <v>2</v>
      </c>
      <c r="S84" s="125">
        <f t="shared" si="13"/>
        <v>3</v>
      </c>
      <c r="T84" s="122">
        <f t="shared" si="14"/>
        <v>6</v>
      </c>
      <c r="U84" s="125">
        <f t="shared" si="15"/>
        <v>6</v>
      </c>
      <c r="V84" s="122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20"/>
      <c r="K86" s="121">
        <f t="shared" si="9"/>
        <v>2</v>
      </c>
      <c r="L86" s="122">
        <f t="shared" si="10"/>
        <v>1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161</v>
      </c>
      <c r="F87" s="13">
        <v>2.0</v>
      </c>
      <c r="G87" s="30" t="s">
        <v>24</v>
      </c>
      <c r="H87" s="13">
        <v>0.0</v>
      </c>
      <c r="I87" s="14" t="s">
        <v>38</v>
      </c>
      <c r="J87" s="120"/>
      <c r="K87" s="121">
        <f t="shared" si="9"/>
        <v>3</v>
      </c>
      <c r="L87" s="122">
        <f t="shared" si="10"/>
        <v>0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191</v>
      </c>
      <c r="D88" s="12" t="s">
        <v>22</v>
      </c>
      <c r="E88" s="14" t="s">
        <v>187</v>
      </c>
      <c r="F88" s="13">
        <v>1.0</v>
      </c>
      <c r="G88" s="30" t="s">
        <v>24</v>
      </c>
      <c r="H88" s="13">
        <v>2.0</v>
      </c>
      <c r="I88" s="14" t="s">
        <v>57</v>
      </c>
      <c r="J88" s="120"/>
      <c r="K88" s="121">
        <f t="shared" si="9"/>
        <v>1</v>
      </c>
      <c r="L88" s="122">
        <f t="shared" si="10"/>
        <v>2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1"/>
      <c r="K89" s="121">
        <f t="shared" si="9"/>
        <v>2</v>
      </c>
      <c r="L89" s="122">
        <f t="shared" si="10"/>
        <v>1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  <c r="AJ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158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  <c r="AJ91" s="3"/>
    </row>
    <row r="92" ht="15.75" customHeight="1">
      <c r="A92" s="116">
        <v>4.0</v>
      </c>
      <c r="B92" s="132"/>
      <c r="C92" s="134"/>
      <c r="D92" s="134"/>
      <c r="E92" s="14" t="s">
        <v>144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0"/>
      <c r="K93" s="121">
        <f t="shared" si="9"/>
        <v>0</v>
      </c>
      <c r="L93" s="122">
        <f t="shared" si="10"/>
        <v>3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161</v>
      </c>
      <c r="J94" s="120"/>
      <c r="K94" s="121">
        <f t="shared" si="9"/>
        <v>0</v>
      </c>
      <c r="L94" s="122">
        <f t="shared" si="10"/>
        <v>3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187</v>
      </c>
      <c r="J95" s="120"/>
      <c r="K95" s="121">
        <f t="shared" si="9"/>
        <v>3</v>
      </c>
      <c r="L95" s="122">
        <f t="shared" si="10"/>
        <v>0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0"/>
      <c r="K96" s="121">
        <f t="shared" si="9"/>
        <v>1</v>
      </c>
      <c r="L96" s="122">
        <f t="shared" si="10"/>
        <v>2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158</v>
      </c>
      <c r="F97" s="13">
        <v>2.0</v>
      </c>
      <c r="G97" s="30" t="s">
        <v>24</v>
      </c>
      <c r="H97" s="13">
        <v>0.0</v>
      </c>
      <c r="I97" s="14" t="s">
        <v>59</v>
      </c>
      <c r="J97" s="120"/>
      <c r="K97" s="121">
        <f t="shared" si="9"/>
        <v>3</v>
      </c>
      <c r="L97" s="122">
        <f t="shared" si="10"/>
        <v>0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144</v>
      </c>
      <c r="F98" s="13">
        <v>2.0</v>
      </c>
      <c r="G98" s="30" t="s">
        <v>24</v>
      </c>
      <c r="H98" s="13">
        <v>0.0</v>
      </c>
      <c r="I98" s="14" t="s">
        <v>38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0">
        <v>2.0</v>
      </c>
      <c r="G99" s="30" t="s">
        <v>24</v>
      </c>
      <c r="H99" s="13">
        <v>0.0</v>
      </c>
      <c r="I99" s="14" t="s">
        <v>57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161</v>
      </c>
      <c r="F100" s="140">
        <v>2.0</v>
      </c>
      <c r="G100" s="30" t="s">
        <v>24</v>
      </c>
      <c r="H100" s="13">
        <v>1.0</v>
      </c>
      <c r="I100" s="14" t="s">
        <v>213</v>
      </c>
      <c r="J100" s="120"/>
      <c r="K100" s="121">
        <f t="shared" si="9"/>
        <v>2</v>
      </c>
      <c r="L100" s="122">
        <f t="shared" si="10"/>
        <v>1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187</v>
      </c>
      <c r="F101" s="140">
        <v>2.0</v>
      </c>
      <c r="G101" s="30" t="s">
        <v>24</v>
      </c>
      <c r="H101" s="13">
        <v>0.0</v>
      </c>
      <c r="I101" s="14" t="s">
        <v>32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0">
        <v>2.0</v>
      </c>
      <c r="G102" s="30" t="s">
        <v>24</v>
      </c>
      <c r="H102" s="13">
        <v>0.0</v>
      </c>
      <c r="I102" s="14" t="s">
        <v>158</v>
      </c>
      <c r="J102" s="120"/>
      <c r="K102" s="121">
        <f t="shared" si="9"/>
        <v>3</v>
      </c>
      <c r="L102" s="122">
        <f t="shared" si="10"/>
        <v>0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59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2"/>
      <c r="C104" s="133"/>
      <c r="D104" s="134"/>
      <c r="E104" s="14" t="s">
        <v>38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2"/>
      <c r="C105" s="134"/>
      <c r="D105" s="134"/>
      <c r="E105" s="14" t="s">
        <v>57</v>
      </c>
      <c r="F105" s="30"/>
      <c r="G105" s="30" t="s">
        <v>24</v>
      </c>
      <c r="H105" s="30"/>
      <c r="I105" s="14" t="s">
        <v>144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2"/>
      <c r="C106" s="134"/>
      <c r="D106" s="134"/>
      <c r="E106" s="14" t="s">
        <v>213</v>
      </c>
      <c r="F106" s="30"/>
      <c r="G106" s="30" t="s">
        <v>24</v>
      </c>
      <c r="H106" s="30"/>
      <c r="I106" s="14" t="s">
        <v>54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2"/>
      <c r="C107" s="133"/>
      <c r="D107" s="134"/>
      <c r="E107" s="14" t="s">
        <v>32</v>
      </c>
      <c r="F107" s="30"/>
      <c r="G107" s="30" t="s">
        <v>24</v>
      </c>
      <c r="H107" s="30"/>
      <c r="I107" s="14" t="s">
        <v>161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2"/>
      <c r="C108" s="134"/>
      <c r="D108" s="134"/>
      <c r="E108" s="14" t="s">
        <v>158</v>
      </c>
      <c r="F108" s="30"/>
      <c r="G108" s="30" t="s">
        <v>24</v>
      </c>
      <c r="H108" s="30"/>
      <c r="I108" s="14" t="s">
        <v>187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2"/>
      <c r="C109" s="134"/>
      <c r="D109" s="134"/>
      <c r="E109" s="14" t="s">
        <v>59</v>
      </c>
      <c r="F109" s="30"/>
      <c r="G109" s="30" t="s">
        <v>24</v>
      </c>
      <c r="H109" s="30"/>
      <c r="I109" s="14" t="s">
        <v>23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2"/>
      <c r="C110" s="133"/>
      <c r="D110" s="134"/>
      <c r="E110" s="14" t="s">
        <v>38</v>
      </c>
      <c r="F110" s="30"/>
      <c r="G110" s="30" t="s">
        <v>24</v>
      </c>
      <c r="H110" s="30"/>
      <c r="I110" s="14" t="s">
        <v>57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2"/>
      <c r="C111" s="133"/>
      <c r="D111" s="134"/>
      <c r="E111" s="14" t="s">
        <v>144</v>
      </c>
      <c r="F111" s="30"/>
      <c r="G111" s="30" t="s">
        <v>24</v>
      </c>
      <c r="H111" s="30"/>
      <c r="I111" s="14" t="s">
        <v>213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2"/>
      <c r="C112" s="133"/>
      <c r="D112" s="134"/>
      <c r="E112" s="14" t="s">
        <v>54</v>
      </c>
      <c r="F112" s="30"/>
      <c r="G112" s="30" t="s">
        <v>24</v>
      </c>
      <c r="H112" s="30"/>
      <c r="I112" s="14" t="s">
        <v>32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2"/>
      <c r="C113" s="133"/>
      <c r="D113" s="134"/>
      <c r="E113" s="14" t="s">
        <v>161</v>
      </c>
      <c r="F113" s="30"/>
      <c r="G113" s="30" t="s">
        <v>24</v>
      </c>
      <c r="H113" s="30"/>
      <c r="I113" s="14" t="s">
        <v>158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2"/>
      <c r="C114" s="134"/>
      <c r="D114" s="134"/>
      <c r="E114" s="14" t="s">
        <v>187</v>
      </c>
      <c r="F114" s="30"/>
      <c r="G114" s="30" t="s">
        <v>24</v>
      </c>
      <c r="H114" s="30"/>
      <c r="I114" s="14" t="s">
        <v>59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2"/>
      <c r="C116" s="133"/>
      <c r="D116" s="134"/>
      <c r="E116" s="14" t="s">
        <v>57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2"/>
      <c r="C117" s="133"/>
      <c r="D117" s="134"/>
      <c r="E117" s="14" t="s">
        <v>213</v>
      </c>
      <c r="F117" s="30"/>
      <c r="G117" s="30" t="s">
        <v>24</v>
      </c>
      <c r="H117" s="30"/>
      <c r="I117" s="14" t="s">
        <v>38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2"/>
      <c r="C118" s="133"/>
      <c r="D118" s="134"/>
      <c r="E118" s="14" t="s">
        <v>32</v>
      </c>
      <c r="F118" s="30"/>
      <c r="G118" s="30" t="s">
        <v>24</v>
      </c>
      <c r="H118" s="30"/>
      <c r="I118" s="14" t="s">
        <v>144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2"/>
      <c r="C119" s="133"/>
      <c r="D119" s="134"/>
      <c r="E119" s="14" t="s">
        <v>158</v>
      </c>
      <c r="F119" s="30"/>
      <c r="G119" s="30" t="s">
        <v>24</v>
      </c>
      <c r="H119" s="30"/>
      <c r="I119" s="14" t="s">
        <v>54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2"/>
      <c r="C120" s="134"/>
      <c r="D120" s="134"/>
      <c r="E120" s="14" t="s">
        <v>59</v>
      </c>
      <c r="F120" s="30"/>
      <c r="G120" s="30" t="s">
        <v>24</v>
      </c>
      <c r="H120" s="30"/>
      <c r="I120" s="14" t="s">
        <v>161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2"/>
      <c r="C121" s="134"/>
      <c r="D121" s="134"/>
      <c r="E121" s="14" t="s">
        <v>23</v>
      </c>
      <c r="F121" s="30"/>
      <c r="G121" s="30" t="s">
        <v>24</v>
      </c>
      <c r="H121" s="30"/>
      <c r="I121" s="14" t="s">
        <v>187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2"/>
      <c r="C122" s="133"/>
      <c r="D122" s="134"/>
      <c r="E122" s="14" t="s">
        <v>57</v>
      </c>
      <c r="F122" s="30"/>
      <c r="G122" s="30" t="s">
        <v>24</v>
      </c>
      <c r="H122" s="30"/>
      <c r="I122" s="14" t="s">
        <v>213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2"/>
      <c r="C123" s="133"/>
      <c r="D123" s="134"/>
      <c r="E123" s="14" t="s">
        <v>38</v>
      </c>
      <c r="F123" s="30"/>
      <c r="G123" s="30" t="s">
        <v>24</v>
      </c>
      <c r="H123" s="30"/>
      <c r="I123" s="14" t="s">
        <v>32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2"/>
      <c r="C124" s="133"/>
      <c r="D124" s="134"/>
      <c r="E124" s="14" t="s">
        <v>144</v>
      </c>
      <c r="F124" s="30"/>
      <c r="G124" s="30" t="s">
        <v>24</v>
      </c>
      <c r="H124" s="30"/>
      <c r="I124" s="14" t="s">
        <v>158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2"/>
      <c r="C125" s="133"/>
      <c r="D125" s="134"/>
      <c r="E125" s="14" t="s">
        <v>54</v>
      </c>
      <c r="F125" s="30"/>
      <c r="G125" s="30" t="s">
        <v>24</v>
      </c>
      <c r="H125" s="30"/>
      <c r="I125" s="14" t="s">
        <v>59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2"/>
      <c r="C126" s="134"/>
      <c r="D126" s="134"/>
      <c r="E126" s="14" t="s">
        <v>161</v>
      </c>
      <c r="F126" s="30"/>
      <c r="G126" s="30" t="s">
        <v>24</v>
      </c>
      <c r="H126" s="30"/>
      <c r="I126" s="14" t="s">
        <v>23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187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213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2"/>
      <c r="C129" s="133"/>
      <c r="D129" s="134"/>
      <c r="E129" s="14" t="s">
        <v>32</v>
      </c>
      <c r="F129" s="30"/>
      <c r="G129" s="30" t="s">
        <v>24</v>
      </c>
      <c r="H129" s="30"/>
      <c r="I129" s="14" t="s">
        <v>57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2"/>
      <c r="C130" s="133"/>
      <c r="D130" s="134"/>
      <c r="E130" s="14" t="s">
        <v>158</v>
      </c>
      <c r="F130" s="30"/>
      <c r="G130" s="30" t="s">
        <v>24</v>
      </c>
      <c r="H130" s="30"/>
      <c r="I130" s="14" t="s">
        <v>38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2"/>
      <c r="C131" s="133"/>
      <c r="D131" s="134"/>
      <c r="E131" s="14" t="s">
        <v>59</v>
      </c>
      <c r="F131" s="30"/>
      <c r="G131" s="30" t="s">
        <v>24</v>
      </c>
      <c r="H131" s="30"/>
      <c r="I131" s="14" t="s">
        <v>144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2"/>
      <c r="C132" s="134"/>
      <c r="D132" s="134"/>
      <c r="E132" s="14" t="s">
        <v>23</v>
      </c>
      <c r="F132" s="30"/>
      <c r="G132" s="30" t="s">
        <v>24</v>
      </c>
      <c r="H132" s="30"/>
      <c r="I132" s="14" t="s">
        <v>54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2"/>
      <c r="C133" s="134"/>
      <c r="D133" s="134"/>
      <c r="E133" s="14" t="s">
        <v>187</v>
      </c>
      <c r="F133" s="30"/>
      <c r="G133" s="30" t="s">
        <v>24</v>
      </c>
      <c r="H133" s="30"/>
      <c r="I133" s="14" t="s">
        <v>161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2"/>
      <c r="C134" s="133"/>
      <c r="D134" s="134"/>
      <c r="E134" s="14" t="s">
        <v>213</v>
      </c>
      <c r="F134" s="13"/>
      <c r="G134" s="30" t="s">
        <v>24</v>
      </c>
      <c r="H134" s="13"/>
      <c r="I134" s="14" t="s">
        <v>32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2"/>
      <c r="C135" s="133"/>
      <c r="D135" s="134"/>
      <c r="E135" s="14" t="s">
        <v>57</v>
      </c>
      <c r="F135" s="30"/>
      <c r="G135" s="30" t="s">
        <v>24</v>
      </c>
      <c r="H135" s="30"/>
      <c r="I135" s="14" t="s">
        <v>158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2"/>
      <c r="C136" s="133"/>
      <c r="D136" s="134"/>
      <c r="E136" s="14" t="s">
        <v>38</v>
      </c>
      <c r="F136" s="30"/>
      <c r="G136" s="30" t="s">
        <v>24</v>
      </c>
      <c r="H136" s="30"/>
      <c r="I136" s="14" t="s">
        <v>59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2"/>
      <c r="C137" s="133"/>
      <c r="D137" s="134"/>
      <c r="E137" s="14" t="s">
        <v>144</v>
      </c>
      <c r="F137" s="30"/>
      <c r="G137" s="30" t="s">
        <v>24</v>
      </c>
      <c r="H137" s="30"/>
      <c r="I137" s="14" t="s">
        <v>23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2"/>
      <c r="C138" s="134"/>
      <c r="D138" s="134"/>
      <c r="E138" s="14" t="s">
        <v>54</v>
      </c>
      <c r="F138" s="13"/>
      <c r="G138" s="30" t="s">
        <v>24</v>
      </c>
      <c r="H138" s="13"/>
      <c r="I138" s="14" t="s">
        <v>187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2"/>
      <c r="C139" s="134"/>
      <c r="D139" s="134"/>
      <c r="E139" s="14" t="s">
        <v>161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5" t="s">
        <v>215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31</v>
      </c>
      <c r="P146" s="122">
        <f t="shared" ref="P146:P156" si="19">SUMIF(E$146:E$211,O146,K$146:K$211)+SUMIF(I$146:I$211,O146,L$146:L$211)</f>
        <v>7</v>
      </c>
      <c r="Q146" s="124">
        <f t="shared" ref="Q146:Q156" si="20">COUNTIFS(E$146:E$211,O146,K$146:K$211,2)+COUNTIFS(I$146:I$211,O146,L$146:L$211,2)+COUNTIFS(E$146:E$211,O146,K$146:K$211,3)+COUNTIFS(I$146:I$211,O146,L$146:L$211,3)</f>
        <v>3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2</v>
      </c>
      <c r="T146" s="122">
        <f t="shared" ref="T146:T156" si="22">SUMIF(E$146:E$211,O146,F$146:F$211)+SUMIF(I$146:I$211,O146,H$146:H$211)</f>
        <v>7</v>
      </c>
      <c r="U146" s="125">
        <f t="shared" ref="U146:U156" si="23">SUMIF(E$146:E$211,O146,H$146:H$211)+SUMIF(I$146:I$211,O146,F$146:F$211)</f>
        <v>7</v>
      </c>
      <c r="V146" s="122">
        <f t="shared" ref="V146:V156" si="24">T146-U146</f>
        <v>0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56</v>
      </c>
      <c r="P147" s="122">
        <f t="shared" si="19"/>
        <v>6</v>
      </c>
      <c r="Q147" s="124">
        <f t="shared" si="20"/>
        <v>2</v>
      </c>
      <c r="R147" s="125"/>
      <c r="S147" s="125">
        <f t="shared" si="21"/>
        <v>2</v>
      </c>
      <c r="T147" s="122">
        <f t="shared" si="22"/>
        <v>4</v>
      </c>
      <c r="U147" s="125">
        <f t="shared" si="23"/>
        <v>4</v>
      </c>
      <c r="V147" s="122">
        <f t="shared" si="24"/>
        <v>0</v>
      </c>
      <c r="X147" s="109" t="s">
        <v>33</v>
      </c>
      <c r="Y147" s="109">
        <v>3.0</v>
      </c>
      <c r="AA147" s="96" t="s">
        <v>115</v>
      </c>
      <c r="AB147" s="63" t="s">
        <v>117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0"/>
      <c r="K148" s="121">
        <f t="shared" si="17"/>
        <v>0</v>
      </c>
      <c r="L148" s="122">
        <f t="shared" si="18"/>
        <v>3</v>
      </c>
      <c r="M148" s="120"/>
      <c r="N148" s="122">
        <v>3.0</v>
      </c>
      <c r="O148" s="123" t="s">
        <v>216</v>
      </c>
      <c r="P148" s="122">
        <f t="shared" si="19"/>
        <v>6</v>
      </c>
      <c r="Q148" s="124">
        <f t="shared" si="20"/>
        <v>2</v>
      </c>
      <c r="R148" s="125"/>
      <c r="S148" s="125">
        <f t="shared" si="21"/>
        <v>2</v>
      </c>
      <c r="T148" s="122">
        <f t="shared" si="22"/>
        <v>6</v>
      </c>
      <c r="U148" s="125">
        <f t="shared" si="23"/>
        <v>6</v>
      </c>
      <c r="V148" s="122">
        <f t="shared" si="24"/>
        <v>0</v>
      </c>
      <c r="X148" s="109" t="s">
        <v>35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0"/>
      <c r="K149" s="121">
        <f t="shared" si="17"/>
        <v>2</v>
      </c>
      <c r="L149" s="122">
        <f t="shared" si="18"/>
        <v>1</v>
      </c>
      <c r="M149" s="120"/>
      <c r="N149" s="122">
        <v>4.0</v>
      </c>
      <c r="O149" s="123" t="s">
        <v>45</v>
      </c>
      <c r="P149" s="122">
        <f t="shared" si="19"/>
        <v>10</v>
      </c>
      <c r="Q149" s="124">
        <f t="shared" si="20"/>
        <v>4</v>
      </c>
      <c r="R149" s="125"/>
      <c r="S149" s="125">
        <f t="shared" si="21"/>
        <v>0</v>
      </c>
      <c r="T149" s="122">
        <f t="shared" si="22"/>
        <v>8</v>
      </c>
      <c r="U149" s="125">
        <f t="shared" si="23"/>
        <v>2</v>
      </c>
      <c r="V149" s="122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0"/>
      <c r="K150" s="121">
        <f t="shared" si="17"/>
        <v>2</v>
      </c>
      <c r="L150" s="122">
        <f t="shared" si="18"/>
        <v>1</v>
      </c>
      <c r="M150" s="120"/>
      <c r="N150" s="122">
        <v>5.0</v>
      </c>
      <c r="O150" s="123" t="s">
        <v>217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56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123</v>
      </c>
      <c r="P151" s="122">
        <f t="shared" si="19"/>
        <v>3</v>
      </c>
      <c r="Q151" s="124">
        <f t="shared" si="20"/>
        <v>1</v>
      </c>
      <c r="R151" s="125"/>
      <c r="S151" s="125">
        <f t="shared" si="21"/>
        <v>3</v>
      </c>
      <c r="T151" s="122">
        <f t="shared" si="22"/>
        <v>3</v>
      </c>
      <c r="U151" s="125">
        <f t="shared" si="23"/>
        <v>7</v>
      </c>
      <c r="V151" s="122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2"/>
      <c r="C152" s="133"/>
      <c r="D152" s="134"/>
      <c r="E152" s="14" t="s">
        <v>216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111</v>
      </c>
      <c r="P152" s="122">
        <f t="shared" si="19"/>
        <v>13</v>
      </c>
      <c r="Q152" s="124">
        <f t="shared" si="20"/>
        <v>5</v>
      </c>
      <c r="R152" s="125"/>
      <c r="S152" s="125">
        <f t="shared" si="21"/>
        <v>0</v>
      </c>
      <c r="T152" s="122">
        <f t="shared" si="22"/>
        <v>10</v>
      </c>
      <c r="U152" s="125">
        <f t="shared" si="23"/>
        <v>2</v>
      </c>
      <c r="V152" s="122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64</v>
      </c>
      <c r="P153" s="122">
        <f t="shared" si="19"/>
        <v>0</v>
      </c>
      <c r="Q153" s="124">
        <f t="shared" si="20"/>
        <v>0</v>
      </c>
      <c r="R153" s="125"/>
      <c r="S153" s="125">
        <f t="shared" si="21"/>
        <v>5</v>
      </c>
      <c r="T153" s="122">
        <f t="shared" si="22"/>
        <v>0</v>
      </c>
      <c r="U153" s="125">
        <f t="shared" si="23"/>
        <v>10</v>
      </c>
      <c r="V153" s="122">
        <f t="shared" si="24"/>
        <v>-10</v>
      </c>
      <c r="AA153" s="21">
        <v>8.0</v>
      </c>
      <c r="AB153" s="63" t="s">
        <v>216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0"/>
      <c r="K154" s="121">
        <f t="shared" si="17"/>
        <v>2</v>
      </c>
      <c r="L154" s="122">
        <f t="shared" si="18"/>
        <v>1</v>
      </c>
      <c r="M154" s="120"/>
      <c r="N154" s="122">
        <v>9.0</v>
      </c>
      <c r="O154" s="123" t="s">
        <v>62</v>
      </c>
      <c r="P154" s="122">
        <f t="shared" si="19"/>
        <v>7</v>
      </c>
      <c r="Q154" s="124">
        <f t="shared" si="20"/>
        <v>2</v>
      </c>
      <c r="R154" s="125"/>
      <c r="S154" s="125">
        <f t="shared" si="21"/>
        <v>3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0"/>
      <c r="K155" s="121">
        <f t="shared" si="17"/>
        <v>3</v>
      </c>
      <c r="L155" s="122">
        <f t="shared" si="18"/>
        <v>0</v>
      </c>
      <c r="M155" s="120"/>
      <c r="N155" s="122">
        <v>10.0</v>
      </c>
      <c r="O155" s="123" t="s">
        <v>117</v>
      </c>
      <c r="P155" s="122">
        <f t="shared" si="19"/>
        <v>13</v>
      </c>
      <c r="Q155" s="124">
        <f t="shared" si="20"/>
        <v>4</v>
      </c>
      <c r="R155" s="125"/>
      <c r="S155" s="125">
        <f t="shared" si="21"/>
        <v>1</v>
      </c>
      <c r="T155" s="122">
        <f t="shared" si="22"/>
        <v>9</v>
      </c>
      <c r="U155" s="125">
        <f t="shared" si="23"/>
        <v>2</v>
      </c>
      <c r="V155" s="122">
        <f t="shared" si="24"/>
        <v>7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0"/>
      <c r="K156" s="121">
        <f t="shared" si="17"/>
        <v>3</v>
      </c>
      <c r="L156" s="122">
        <f t="shared" si="18"/>
        <v>0</v>
      </c>
      <c r="M156" s="120"/>
      <c r="N156" s="139">
        <v>11.0</v>
      </c>
      <c r="O156" s="139" t="s">
        <v>60</v>
      </c>
      <c r="P156" s="122">
        <f t="shared" si="19"/>
        <v>8</v>
      </c>
      <c r="Q156" s="124">
        <f t="shared" si="20"/>
        <v>2</v>
      </c>
      <c r="S156" s="125">
        <f t="shared" si="21"/>
        <v>3</v>
      </c>
      <c r="T156" s="122">
        <f t="shared" si="22"/>
        <v>6</v>
      </c>
      <c r="U156" s="125">
        <f t="shared" si="23"/>
        <v>6</v>
      </c>
      <c r="V156" s="122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0"/>
      <c r="K157" s="121">
        <f t="shared" si="17"/>
        <v>0</v>
      </c>
      <c r="L157" s="122">
        <f t="shared" si="18"/>
        <v>3</v>
      </c>
      <c r="M157" s="120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0"/>
      <c r="K158" s="121">
        <f t="shared" si="17"/>
        <v>2</v>
      </c>
      <c r="L158" s="122">
        <f t="shared" si="18"/>
        <v>1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0"/>
      <c r="K159" s="121">
        <f t="shared" si="17"/>
        <v>0</v>
      </c>
      <c r="L159" s="122">
        <f t="shared" si="18"/>
        <v>3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191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  <c r="AJ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45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  <c r="AJ163" s="3"/>
    </row>
    <row r="164" ht="15.75" customHeight="1">
      <c r="A164" s="116">
        <v>4.0</v>
      </c>
      <c r="B164" s="132"/>
      <c r="C164" s="134"/>
      <c r="D164" s="134"/>
      <c r="E164" s="14" t="s">
        <v>217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0"/>
      <c r="K165" s="121">
        <f t="shared" si="17"/>
        <v>2</v>
      </c>
      <c r="L165" s="122">
        <f t="shared" si="18"/>
        <v>1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164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0"/>
      <c r="K167" s="121">
        <f t="shared" si="17"/>
        <v>0</v>
      </c>
      <c r="L167" s="122">
        <f t="shared" si="18"/>
        <v>3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0"/>
      <c r="K168" s="121">
        <f t="shared" si="17"/>
        <v>3</v>
      </c>
      <c r="L168" s="122">
        <f t="shared" si="18"/>
        <v>0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0"/>
      <c r="K169" s="121">
        <f t="shared" si="17"/>
        <v>2</v>
      </c>
      <c r="L169" s="122">
        <f t="shared" si="18"/>
        <v>1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0"/>
      <c r="K170" s="121">
        <f t="shared" si="17"/>
        <v>0</v>
      </c>
      <c r="L170" s="122">
        <f t="shared" si="18"/>
        <v>3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202</v>
      </c>
      <c r="D171" s="12" t="s">
        <v>22</v>
      </c>
      <c r="E171" s="14" t="s">
        <v>216</v>
      </c>
      <c r="F171" s="140">
        <v>2.0</v>
      </c>
      <c r="G171" s="30" t="s">
        <v>24</v>
      </c>
      <c r="H171" s="13">
        <v>1.0</v>
      </c>
      <c r="I171" s="14" t="s">
        <v>62</v>
      </c>
      <c r="J171" s="120"/>
      <c r="K171" s="121">
        <f t="shared" si="17"/>
        <v>2</v>
      </c>
      <c r="L171" s="122">
        <f t="shared" si="18"/>
        <v>1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202</v>
      </c>
      <c r="D172" s="12" t="s">
        <v>22</v>
      </c>
      <c r="E172" s="14" t="s">
        <v>31</v>
      </c>
      <c r="F172" s="140">
        <v>2.0</v>
      </c>
      <c r="G172" s="30" t="s">
        <v>24</v>
      </c>
      <c r="H172" s="13">
        <v>1.0</v>
      </c>
      <c r="I172" s="14" t="s">
        <v>60</v>
      </c>
      <c r="J172" s="120"/>
      <c r="K172" s="121">
        <f t="shared" si="17"/>
        <v>2</v>
      </c>
      <c r="L172" s="122">
        <f t="shared" si="18"/>
        <v>1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177</v>
      </c>
      <c r="D173" s="12" t="s">
        <v>22</v>
      </c>
      <c r="E173" s="14" t="s">
        <v>117</v>
      </c>
      <c r="F173" s="140">
        <v>2.0</v>
      </c>
      <c r="G173" s="30" t="s">
        <v>24</v>
      </c>
      <c r="H173" s="13">
        <v>0.0</v>
      </c>
      <c r="I173" s="14" t="s">
        <v>56</v>
      </c>
      <c r="J173" s="120"/>
      <c r="K173" s="121">
        <f t="shared" si="17"/>
        <v>3</v>
      </c>
      <c r="L173" s="122">
        <f t="shared" si="18"/>
        <v>0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0">
        <v>0.0</v>
      </c>
      <c r="G174" s="30" t="s">
        <v>24</v>
      </c>
      <c r="H174" s="13">
        <v>2.0</v>
      </c>
      <c r="I174" s="14" t="s">
        <v>45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123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2"/>
      <c r="C176" s="133"/>
      <c r="D176" s="134"/>
      <c r="E176" s="14" t="s">
        <v>111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2"/>
      <c r="C177" s="134"/>
      <c r="D177" s="134"/>
      <c r="E177" s="14" t="s">
        <v>62</v>
      </c>
      <c r="F177" s="30"/>
      <c r="G177" s="30" t="s">
        <v>24</v>
      </c>
      <c r="H177" s="30"/>
      <c r="I177" s="14" t="s">
        <v>217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2"/>
      <c r="C178" s="134"/>
      <c r="D178" s="134"/>
      <c r="E178" s="14" t="s">
        <v>60</v>
      </c>
      <c r="F178" s="30"/>
      <c r="G178" s="30" t="s">
        <v>24</v>
      </c>
      <c r="H178" s="30"/>
      <c r="I178" s="14" t="s">
        <v>216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2"/>
      <c r="C179" s="133"/>
      <c r="D179" s="134"/>
      <c r="E179" s="14" t="s">
        <v>56</v>
      </c>
      <c r="F179" s="30"/>
      <c r="G179" s="30" t="s">
        <v>24</v>
      </c>
      <c r="H179" s="30"/>
      <c r="I179" s="14" t="s">
        <v>31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2"/>
      <c r="C180" s="134"/>
      <c r="D180" s="134"/>
      <c r="E180" s="14" t="s">
        <v>45</v>
      </c>
      <c r="F180" s="30"/>
      <c r="G180" s="30" t="s">
        <v>24</v>
      </c>
      <c r="H180" s="30"/>
      <c r="I180" s="14" t="s">
        <v>117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2"/>
      <c r="C181" s="134"/>
      <c r="D181" s="134"/>
      <c r="E181" s="14" t="s">
        <v>123</v>
      </c>
      <c r="F181" s="30"/>
      <c r="G181" s="30" t="s">
        <v>24</v>
      </c>
      <c r="H181" s="30"/>
      <c r="I181" s="14" t="s">
        <v>64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2"/>
      <c r="C182" s="133"/>
      <c r="D182" s="134"/>
      <c r="E182" s="14" t="s">
        <v>111</v>
      </c>
      <c r="F182" s="30"/>
      <c r="G182" s="30" t="s">
        <v>24</v>
      </c>
      <c r="H182" s="30"/>
      <c r="I182" s="14" t="s">
        <v>62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2"/>
      <c r="C183" s="133"/>
      <c r="D183" s="134"/>
      <c r="E183" s="14" t="s">
        <v>217</v>
      </c>
      <c r="F183" s="30"/>
      <c r="G183" s="30" t="s">
        <v>24</v>
      </c>
      <c r="H183" s="30"/>
      <c r="I183" s="14" t="s">
        <v>60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2"/>
      <c r="C184" s="133"/>
      <c r="D184" s="134"/>
      <c r="E184" s="14" t="s">
        <v>216</v>
      </c>
      <c r="F184" s="30"/>
      <c r="G184" s="30" t="s">
        <v>24</v>
      </c>
      <c r="H184" s="30"/>
      <c r="I184" s="14" t="s">
        <v>56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2"/>
      <c r="C185" s="133"/>
      <c r="D185" s="134"/>
      <c r="E185" s="14" t="s">
        <v>31</v>
      </c>
      <c r="F185" s="30"/>
      <c r="G185" s="30" t="s">
        <v>24</v>
      </c>
      <c r="H185" s="30"/>
      <c r="I185" s="14" t="s">
        <v>45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2"/>
      <c r="C186" s="134"/>
      <c r="D186" s="134"/>
      <c r="E186" s="14" t="s">
        <v>117</v>
      </c>
      <c r="F186" s="30"/>
      <c r="G186" s="30" t="s">
        <v>24</v>
      </c>
      <c r="H186" s="30"/>
      <c r="I186" s="14" t="s">
        <v>123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64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2"/>
      <c r="C188" s="133"/>
      <c r="D188" s="134"/>
      <c r="E188" s="14" t="s">
        <v>62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2"/>
      <c r="C189" s="133"/>
      <c r="D189" s="134"/>
      <c r="E189" s="14" t="s">
        <v>60</v>
      </c>
      <c r="F189" s="30"/>
      <c r="G189" s="30" t="s">
        <v>24</v>
      </c>
      <c r="H189" s="30"/>
      <c r="I189" s="14" t="s">
        <v>111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2"/>
      <c r="C190" s="133"/>
      <c r="D190" s="134"/>
      <c r="E190" s="14" t="s">
        <v>56</v>
      </c>
      <c r="F190" s="30"/>
      <c r="G190" s="30" t="s">
        <v>24</v>
      </c>
      <c r="H190" s="30"/>
      <c r="I190" s="14" t="s">
        <v>217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2"/>
      <c r="C191" s="133"/>
      <c r="D191" s="134"/>
      <c r="E191" s="14" t="s">
        <v>45</v>
      </c>
      <c r="F191" s="30"/>
      <c r="G191" s="30" t="s">
        <v>24</v>
      </c>
      <c r="H191" s="30"/>
      <c r="I191" s="14" t="s">
        <v>216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2"/>
      <c r="C192" s="134"/>
      <c r="D192" s="134"/>
      <c r="E192" s="14" t="s">
        <v>123</v>
      </c>
      <c r="F192" s="30"/>
      <c r="G192" s="30" t="s">
        <v>24</v>
      </c>
      <c r="H192" s="30"/>
      <c r="I192" s="14" t="s">
        <v>31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2"/>
      <c r="C193" s="134"/>
      <c r="D193" s="134"/>
      <c r="E193" s="14" t="s">
        <v>64</v>
      </c>
      <c r="F193" s="30"/>
      <c r="G193" s="30" t="s">
        <v>24</v>
      </c>
      <c r="H193" s="30"/>
      <c r="I193" s="14" t="s">
        <v>117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2"/>
      <c r="C194" s="133"/>
      <c r="D194" s="134"/>
      <c r="E194" s="14" t="s">
        <v>62</v>
      </c>
      <c r="F194" s="30"/>
      <c r="G194" s="30" t="s">
        <v>24</v>
      </c>
      <c r="H194" s="30"/>
      <c r="I194" s="14" t="s">
        <v>60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2"/>
      <c r="C195" s="133"/>
      <c r="D195" s="134"/>
      <c r="E195" s="14" t="s">
        <v>111</v>
      </c>
      <c r="F195" s="30"/>
      <c r="G195" s="30" t="s">
        <v>24</v>
      </c>
      <c r="H195" s="30"/>
      <c r="I195" s="14" t="s">
        <v>56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2"/>
      <c r="C196" s="133"/>
      <c r="D196" s="134"/>
      <c r="E196" s="14" t="s">
        <v>217</v>
      </c>
      <c r="F196" s="30"/>
      <c r="G196" s="30" t="s">
        <v>24</v>
      </c>
      <c r="H196" s="30"/>
      <c r="I196" s="14" t="s">
        <v>45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2"/>
      <c r="C197" s="133"/>
      <c r="D197" s="134"/>
      <c r="E197" s="14" t="s">
        <v>216</v>
      </c>
      <c r="F197" s="30"/>
      <c r="G197" s="30" t="s">
        <v>24</v>
      </c>
      <c r="H197" s="30"/>
      <c r="I197" s="14" t="s">
        <v>123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2"/>
      <c r="C198" s="134"/>
      <c r="D198" s="134"/>
      <c r="E198" s="14" t="s">
        <v>31</v>
      </c>
      <c r="F198" s="30"/>
      <c r="G198" s="30" t="s">
        <v>24</v>
      </c>
      <c r="H198" s="30"/>
      <c r="I198" s="14" t="s">
        <v>64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117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60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2"/>
      <c r="C201" s="133"/>
      <c r="D201" s="134"/>
      <c r="E201" s="14" t="s">
        <v>56</v>
      </c>
      <c r="F201" s="30"/>
      <c r="G201" s="30" t="s">
        <v>24</v>
      </c>
      <c r="H201" s="30"/>
      <c r="I201" s="14" t="s">
        <v>62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2"/>
      <c r="C202" s="133"/>
      <c r="D202" s="134"/>
      <c r="E202" s="14" t="s">
        <v>45</v>
      </c>
      <c r="F202" s="30"/>
      <c r="G202" s="30" t="s">
        <v>24</v>
      </c>
      <c r="H202" s="30"/>
      <c r="I202" s="14" t="s">
        <v>111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2"/>
      <c r="C203" s="133"/>
      <c r="D203" s="134"/>
      <c r="E203" s="14" t="s">
        <v>123</v>
      </c>
      <c r="F203" s="30"/>
      <c r="G203" s="30" t="s">
        <v>24</v>
      </c>
      <c r="H203" s="30"/>
      <c r="I203" s="14" t="s">
        <v>217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2"/>
      <c r="C204" s="134"/>
      <c r="D204" s="134"/>
      <c r="E204" s="14" t="s">
        <v>64</v>
      </c>
      <c r="F204" s="30"/>
      <c r="G204" s="30" t="s">
        <v>24</v>
      </c>
      <c r="H204" s="30"/>
      <c r="I204" s="14" t="s">
        <v>216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2"/>
      <c r="C205" s="134"/>
      <c r="D205" s="134"/>
      <c r="E205" s="14" t="s">
        <v>117</v>
      </c>
      <c r="F205" s="30"/>
      <c r="G205" s="30" t="s">
        <v>24</v>
      </c>
      <c r="H205" s="30"/>
      <c r="I205" s="14" t="s">
        <v>31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2"/>
      <c r="C206" s="133"/>
      <c r="D206" s="134"/>
      <c r="E206" s="14" t="s">
        <v>60</v>
      </c>
      <c r="F206" s="13"/>
      <c r="G206" s="30" t="s">
        <v>24</v>
      </c>
      <c r="H206" s="13"/>
      <c r="I206" s="14" t="s">
        <v>56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2"/>
      <c r="C207" s="133"/>
      <c r="D207" s="134"/>
      <c r="E207" s="14" t="s">
        <v>62</v>
      </c>
      <c r="F207" s="30"/>
      <c r="G207" s="30" t="s">
        <v>24</v>
      </c>
      <c r="H207" s="30"/>
      <c r="I207" s="14" t="s">
        <v>45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2"/>
      <c r="C208" s="133"/>
      <c r="D208" s="134"/>
      <c r="E208" s="14" t="s">
        <v>111</v>
      </c>
      <c r="F208" s="30"/>
      <c r="G208" s="30" t="s">
        <v>24</v>
      </c>
      <c r="H208" s="30"/>
      <c r="I208" s="14" t="s">
        <v>123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2"/>
      <c r="C209" s="133"/>
      <c r="D209" s="134"/>
      <c r="E209" s="14" t="s">
        <v>217</v>
      </c>
      <c r="F209" s="30"/>
      <c r="G209" s="30" t="s">
        <v>24</v>
      </c>
      <c r="H209" s="30"/>
      <c r="I209" s="14" t="s">
        <v>64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2"/>
      <c r="C210" s="134"/>
      <c r="D210" s="134"/>
      <c r="E210" s="14" t="s">
        <v>216</v>
      </c>
      <c r="F210" s="13"/>
      <c r="G210" s="30" t="s">
        <v>24</v>
      </c>
      <c r="H210" s="13"/>
      <c r="I210" s="14" t="s">
        <v>117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2"/>
      <c r="C211" s="134"/>
      <c r="D211" s="134"/>
      <c r="E211" s="14" t="s">
        <v>31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195</v>
      </c>
      <c r="U217" s="147" t="s">
        <v>196</v>
      </c>
      <c r="V217" s="147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195</v>
      </c>
      <c r="AH217" s="148" t="s">
        <v>196</v>
      </c>
      <c r="AI217" s="148" t="s">
        <v>197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6"/>
      <c r="E235" s="119"/>
      <c r="I235" s="119"/>
      <c r="AA235" s="3"/>
      <c r="AB235" s="11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0" t="s">
        <v>221</v>
      </c>
      <c r="B1" s="151" t="s">
        <v>222</v>
      </c>
      <c r="C1" s="151" t="s">
        <v>223</v>
      </c>
      <c r="D1" s="151" t="s">
        <v>224</v>
      </c>
      <c r="E1" s="151" t="s">
        <v>225</v>
      </c>
      <c r="F1" s="151" t="s">
        <v>226</v>
      </c>
      <c r="G1" s="151" t="s">
        <v>227</v>
      </c>
      <c r="H1" s="151" t="s">
        <v>228</v>
      </c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15.75" customHeight="1">
      <c r="A2" s="153" t="s">
        <v>229</v>
      </c>
      <c r="B2" s="154" t="s">
        <v>230</v>
      </c>
      <c r="C2" s="155" t="s">
        <v>31</v>
      </c>
      <c r="D2" s="155" t="s">
        <v>231</v>
      </c>
      <c r="E2" s="156">
        <v>108125.0</v>
      </c>
      <c r="F2" s="157" t="s">
        <v>232</v>
      </c>
      <c r="G2" s="154" t="s">
        <v>233</v>
      </c>
      <c r="H2" s="155" t="s">
        <v>234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5.75" customHeight="1">
      <c r="A3" s="153" t="s">
        <v>229</v>
      </c>
      <c r="B3" s="154" t="s">
        <v>235</v>
      </c>
      <c r="C3" s="154" t="s">
        <v>32</v>
      </c>
      <c r="D3" s="154" t="s">
        <v>236</v>
      </c>
      <c r="E3" s="158">
        <v>89159.0</v>
      </c>
      <c r="F3" s="159" t="s">
        <v>237</v>
      </c>
      <c r="G3" s="154" t="s">
        <v>233</v>
      </c>
      <c r="H3" s="154" t="s">
        <v>238</v>
      </c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5.75" customHeight="1">
      <c r="A4" s="153" t="s">
        <v>229</v>
      </c>
      <c r="B4" s="154" t="s">
        <v>239</v>
      </c>
      <c r="C4" s="154" t="s">
        <v>111</v>
      </c>
      <c r="D4" s="154" t="s">
        <v>240</v>
      </c>
      <c r="E4" s="158">
        <v>100096.0</v>
      </c>
      <c r="F4" s="159" t="s">
        <v>241</v>
      </c>
      <c r="G4" s="154" t="s">
        <v>233</v>
      </c>
      <c r="H4" s="154" t="s">
        <v>242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5.75" customHeight="1">
      <c r="A5" s="153" t="s">
        <v>229</v>
      </c>
      <c r="B5" s="154" t="s">
        <v>243</v>
      </c>
      <c r="C5" s="154" t="s">
        <v>55</v>
      </c>
      <c r="D5" s="154" t="s">
        <v>244</v>
      </c>
      <c r="E5" s="158">
        <v>108498.0</v>
      </c>
      <c r="F5" s="159" t="s">
        <v>245</v>
      </c>
      <c r="G5" s="154" t="s">
        <v>233</v>
      </c>
      <c r="H5" s="154" t="s">
        <v>246</v>
      </c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5.75" customHeight="1">
      <c r="A6" s="153" t="s">
        <v>229</v>
      </c>
      <c r="B6" s="154" t="s">
        <v>247</v>
      </c>
      <c r="C6" s="154" t="s">
        <v>63</v>
      </c>
      <c r="D6" s="154" t="s">
        <v>248</v>
      </c>
      <c r="E6" s="158">
        <v>110713.0</v>
      </c>
      <c r="F6" s="159" t="s">
        <v>241</v>
      </c>
      <c r="G6" s="154" t="s">
        <v>233</v>
      </c>
      <c r="H6" s="154" t="s">
        <v>249</v>
      </c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>
      <c r="A7" s="153" t="s">
        <v>229</v>
      </c>
      <c r="B7" s="154" t="s">
        <v>250</v>
      </c>
      <c r="C7" s="154" t="s">
        <v>59</v>
      </c>
      <c r="D7" s="154" t="s">
        <v>251</v>
      </c>
      <c r="E7" s="158">
        <v>108196.0</v>
      </c>
      <c r="F7" s="159" t="s">
        <v>245</v>
      </c>
      <c r="G7" s="154" t="s">
        <v>233</v>
      </c>
      <c r="H7" s="154" t="s">
        <v>246</v>
      </c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5.75" customHeight="1">
      <c r="A8" s="153" t="s">
        <v>252</v>
      </c>
      <c r="B8" s="154" t="s">
        <v>253</v>
      </c>
      <c r="C8" s="154" t="s">
        <v>143</v>
      </c>
      <c r="D8" s="154" t="s">
        <v>254</v>
      </c>
      <c r="E8" s="158">
        <v>103269.0</v>
      </c>
      <c r="F8" s="159" t="s">
        <v>245</v>
      </c>
      <c r="G8" s="154" t="s">
        <v>233</v>
      </c>
      <c r="H8" s="154" t="s">
        <v>246</v>
      </c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5.75" customHeight="1">
      <c r="A9" s="153" t="s">
        <v>229</v>
      </c>
      <c r="B9" s="154" t="s">
        <v>255</v>
      </c>
      <c r="C9" s="154" t="s">
        <v>35</v>
      </c>
      <c r="D9" s="154" t="s">
        <v>256</v>
      </c>
      <c r="E9" s="158">
        <v>109271.0</v>
      </c>
      <c r="F9" s="159" t="s">
        <v>245</v>
      </c>
      <c r="G9" s="154" t="s">
        <v>257</v>
      </c>
      <c r="H9" s="154" t="s">
        <v>258</v>
      </c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5.75" customHeight="1">
      <c r="A10" s="153" t="s">
        <v>229</v>
      </c>
      <c r="B10" s="154" t="s">
        <v>259</v>
      </c>
      <c r="C10" s="154" t="s">
        <v>121</v>
      </c>
      <c r="D10" s="154" t="s">
        <v>260</v>
      </c>
      <c r="E10" s="158">
        <v>108249.0</v>
      </c>
      <c r="F10" s="159" t="s">
        <v>245</v>
      </c>
      <c r="G10" s="154" t="s">
        <v>257</v>
      </c>
      <c r="H10" s="154" t="s">
        <v>258</v>
      </c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5.75" customHeight="1">
      <c r="A11" s="153" t="s">
        <v>229</v>
      </c>
      <c r="B11" s="154" t="s">
        <v>261</v>
      </c>
      <c r="C11" s="154" t="s">
        <v>40</v>
      </c>
      <c r="D11" s="154" t="s">
        <v>262</v>
      </c>
      <c r="E11" s="158">
        <v>103583.0</v>
      </c>
      <c r="F11" s="159" t="s">
        <v>245</v>
      </c>
      <c r="G11" s="154" t="s">
        <v>257</v>
      </c>
      <c r="H11" s="154" t="s">
        <v>263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5.75" customHeight="1">
      <c r="A12" s="153" t="s">
        <v>229</v>
      </c>
      <c r="B12" s="154" t="s">
        <v>261</v>
      </c>
      <c r="C12" s="154" t="s">
        <v>40</v>
      </c>
      <c r="D12" s="154" t="s">
        <v>264</v>
      </c>
      <c r="E12" s="158">
        <v>93245.0</v>
      </c>
      <c r="F12" s="160" t="s">
        <v>265</v>
      </c>
      <c r="G12" s="161">
        <v>44870.0</v>
      </c>
      <c r="H12" s="16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