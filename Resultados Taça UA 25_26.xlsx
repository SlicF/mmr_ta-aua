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<sst xmlns="http://schemas.openxmlformats.org/spreadsheetml/2006/main" count="5470" uniqueCount="259">
  <si>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</si>
  <si>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</si>
  <si>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</si>
  <si>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</si>
  <si>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</si>
  <si>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</si>
  <si>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</si>
  <si>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</si>
  <si>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</si>
  <si>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</si>
  <si>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</si>
  <si>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</si>
  <si>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</si>
  <si>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</si>
  <si>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</si>
  <si>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</si>
  <si>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</si>
  <si>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</si>
  <si>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</si>
  <si>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</si>
  <si>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</si>
  <si>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</si>
  <si>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</si>
  <si>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</si>
  <si>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</si>
  <si>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</si>
  <si>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</si>
  <si>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</si>
  <si>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</si>
  <si>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</si>
  <si>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</si>
  <si>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</si>
  <si>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</si>
  <si>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</si>
  <si>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</si>
  <si>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</si>
  <si>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</si>
  <si>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</si>
  <si>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</si>
  <si>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</si>
  <si>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</si>
  <si>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</si>
  <si>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</si>
  <si>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</si>
  <si>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</si>
  <si>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</si>
  <si>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</si>
  <si>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</si>
  <si>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</si>
  <si>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</si>
  <si>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</si>
  <si>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</si>
  <si>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</si>
  <si>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</si>
  <si>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</si>
  <si>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</si>
  <si>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</si>
  <si>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</si>
  <si>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</si>
  <si>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</si>
  <si>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</si>
  <si>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</si>
  <si>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</si>
  <si>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</si>
  <si>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</si>
  <si>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</si>
  <si>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</si>
  <si>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</si>
  <si>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</si>
  <si>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</si>
  <si>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</si>
  <si>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</si>
  <si>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</si>
  <si>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</si>
  <si>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</si>
  <si>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</si>
  <si>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</si>
  <si>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</si>
  <si>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</si>
  <si>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</si>
  <si>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</si>
  <si>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</si>
  <si>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</si>
  <si>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</si>
  <si>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</si>
  <si>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</si>
  <si>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</si>
  <si>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</si>
  <si>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</si>
  <si>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</si>
  <si>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</si>
  <si>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</si>
  <si>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20h00</t>
  </si>
  <si>
    <t>Eng. Aeroespacial</t>
  </si>
  <si>
    <t>20h20</t>
  </si>
  <si>
    <t>20h40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</si>
  <si>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</si>
  <si>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</si>
  <si>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</si>
  <si>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</si>
  <si>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</si>
  <si>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</si>
  <si>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</si>
  <si>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</si>
  <si>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</si>
  <si>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</si>
  <si>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</si>
  <si>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</si>
  <si>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</si>
  <si>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</si>
  <si>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19h20</t>
  </si>
  <si>
    <t>Contabilidade</t>
  </si>
  <si>
    <t>Música</t>
  </si>
  <si>
    <t>GPT</t>
  </si>
  <si>
    <t>2"</t>
  </si>
  <si>
    <t>19h40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</si>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</sst>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1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4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6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7" numFmtId="0" xfId="0" applyAlignment="1" applyBorder="1" applyFill="1" applyFont="1">
      <alignment horizontal="center" vertical="center"/>
    </xf>
    <xf borderId="4" fillId="9" fontId="17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8" numFmtId="0" xfId="0" applyAlignment="1" applyBorder="1" applyFont="1">
      <alignment vertical="center"/>
    </xf>
    <xf borderId="9" fillId="0" fontId="18" numFmtId="0" xfId="0" applyAlignment="1" applyBorder="1" applyFont="1">
      <alignment horizontal="center" vertical="center"/>
    </xf>
    <xf borderId="9" fillId="0" fontId="19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4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5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6" t="str">
        <f t="shared" ref="L3:L68" si="2">IF(H3="","",IFS(F3&lt;H3,3,F3=H3,2,H3&lt;F3,1))</f>
        <v/>
      </c>
      <c r="M3" s="4"/>
      <c r="N3" s="16">
        <v>1.0</v>
      </c>
      <c r="O3" s="17" t="s">
        <v>23</v>
      </c>
      <c r="P3" s="16">
        <f t="shared" ref="P3:P13" si="3">SUMIF(E$3:E$68,O3,K$3:K$68)+SUMIF(I$3:I$68,O3,L$3:L$68)</f>
        <v>0</v>
      </c>
      <c r="Q3" s="16">
        <f t="shared" ref="Q3:Q13" si="4">COUNTIFS(E$3:E$68,O3,K$3:K$68,3)+COUNTIFS(I$3:I$68,O3,L$3:L$68,3)</f>
        <v>0</v>
      </c>
      <c r="R3" s="18">
        <f t="shared" ref="R3:R13" si="5">COUNTIFS(E$3:E$68,O3,K$3:K$68,2)+COUNTIFS(I$3:I$68,O3,L$3:L$68,2)</f>
        <v>0</v>
      </c>
      <c r="S3" s="18">
        <f t="shared" ref="S3:S13" si="6">COUNTIFS(E$3:E$68,O3,K$3:K$68,1)+COUNTIFS(I$3:I$68,O3,L$3:L$68,1)</f>
        <v>0</v>
      </c>
      <c r="T3" s="16">
        <f t="shared" ref="T3:T13" si="7">SUMIF(E$3:E$68,O3,F$3:F$68)+SUMIF(I$3:I$68,O3,H$3:H$68)</f>
        <v>0</v>
      </c>
      <c r="U3" s="18">
        <f t="shared" ref="U3:U13" si="8">SUMIF(E$3:E$68,O3,H$3:H$68)+SUMIF(I$3:I$68,O3,F$3:F$68)</f>
        <v>0</v>
      </c>
      <c r="V3" s="16">
        <f t="shared" ref="V3:V13" si="9">T3-U3</f>
        <v>0</v>
      </c>
      <c r="W3" s="2"/>
      <c r="X3" s="19" t="s">
        <v>26</v>
      </c>
      <c r="Y3" s="19" t="s">
        <v>13</v>
      </c>
      <c r="Z3" s="19" t="s">
        <v>27</v>
      </c>
      <c r="AA3" s="19" t="s">
        <v>28</v>
      </c>
      <c r="AB3" s="19" t="s">
        <v>19</v>
      </c>
      <c r="AC3" s="2"/>
      <c r="AD3" s="2"/>
      <c r="AE3" s="20" t="s">
        <v>29</v>
      </c>
      <c r="AF3" s="21" t="str">
        <f t="array" ref="AF3:AM13">SORT(O3:V13,2,FALSE,8,FALSE)</f>
        <v>Fisioterapia</v>
      </c>
      <c r="AG3" s="21">
        <v>0.0</v>
      </c>
      <c r="AH3" s="21">
        <v>0.0</v>
      </c>
      <c r="AI3" s="22">
        <v>0.0</v>
      </c>
      <c r="AJ3" s="21">
        <v>0.0</v>
      </c>
      <c r="AK3" s="21">
        <v>0.0</v>
      </c>
      <c r="AL3" s="22">
        <v>0.0</v>
      </c>
      <c r="AM3" s="21">
        <v>0.0</v>
      </c>
      <c r="AN3" s="16"/>
    </row>
    <row r="4" ht="15.75" customHeight="1">
      <c r="A4" s="23"/>
      <c r="B4" s="11">
        <v>45951.0</v>
      </c>
      <c r="C4" s="12" t="s">
        <v>30</v>
      </c>
      <c r="D4" s="13" t="s">
        <v>22</v>
      </c>
      <c r="E4" s="14" t="s">
        <v>31</v>
      </c>
      <c r="F4" s="15"/>
      <c r="G4" s="15" t="s">
        <v>24</v>
      </c>
      <c r="H4" s="15"/>
      <c r="I4" s="14" t="s">
        <v>32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17" t="s">
        <v>25</v>
      </c>
      <c r="P4" s="16">
        <f t="shared" si="3"/>
        <v>0</v>
      </c>
      <c r="Q4" s="16">
        <f t="shared" si="4"/>
        <v>0</v>
      </c>
      <c r="R4" s="18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2"/>
      <c r="X4" s="24" t="s">
        <v>33</v>
      </c>
      <c r="Y4" s="24">
        <v>2.0</v>
      </c>
      <c r="Z4" s="25">
        <v>252.0</v>
      </c>
      <c r="AA4" s="25">
        <v>161.0</v>
      </c>
      <c r="AB4" s="25">
        <f t="shared" ref="AB4:AB5" si="10">Z4-AA4</f>
        <v>91</v>
      </c>
      <c r="AC4" s="2"/>
      <c r="AD4" s="2"/>
      <c r="AE4" s="20" t="s">
        <v>34</v>
      </c>
      <c r="AF4" s="26" t="s">
        <v>25</v>
      </c>
      <c r="AG4" s="21">
        <v>0.0</v>
      </c>
      <c r="AH4" s="21">
        <v>0.0</v>
      </c>
      <c r="AI4" s="22">
        <v>0.0</v>
      </c>
      <c r="AJ4" s="21">
        <v>0.0</v>
      </c>
      <c r="AK4" s="21">
        <v>0.0</v>
      </c>
      <c r="AL4" s="22">
        <v>0.0</v>
      </c>
      <c r="AM4" s="21">
        <v>0.0</v>
      </c>
      <c r="AN4" s="16"/>
    </row>
    <row r="5" ht="15.75" customHeight="1">
      <c r="A5" s="23"/>
      <c r="B5" s="11">
        <v>45951.0</v>
      </c>
      <c r="C5" s="12" t="s">
        <v>35</v>
      </c>
      <c r="D5" s="13" t="s">
        <v>22</v>
      </c>
      <c r="E5" s="14" t="s">
        <v>36</v>
      </c>
      <c r="F5" s="15"/>
      <c r="G5" s="15" t="s">
        <v>24</v>
      </c>
      <c r="H5" s="15"/>
      <c r="I5" s="14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17" t="s">
        <v>31</v>
      </c>
      <c r="P5" s="16">
        <f t="shared" si="3"/>
        <v>0</v>
      </c>
      <c r="Q5" s="16">
        <f t="shared" si="4"/>
        <v>0</v>
      </c>
      <c r="R5" s="18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2"/>
      <c r="X5" s="25" t="s">
        <v>37</v>
      </c>
      <c r="Y5" s="25">
        <v>2.0</v>
      </c>
      <c r="Z5" s="25">
        <v>322.0</v>
      </c>
      <c r="AA5" s="25">
        <v>268.0</v>
      </c>
      <c r="AB5" s="25">
        <f t="shared" si="10"/>
        <v>54</v>
      </c>
      <c r="AC5" s="2"/>
      <c r="AD5" s="2"/>
      <c r="AE5" s="20" t="s">
        <v>38</v>
      </c>
      <c r="AF5" s="25" t="s">
        <v>31</v>
      </c>
      <c r="AG5" s="21">
        <v>0.0</v>
      </c>
      <c r="AH5" s="21">
        <v>0.0</v>
      </c>
      <c r="AI5" s="22">
        <v>0.0</v>
      </c>
      <c r="AJ5" s="21">
        <v>0.0</v>
      </c>
      <c r="AK5" s="21">
        <v>0.0</v>
      </c>
      <c r="AL5" s="22">
        <v>0.0</v>
      </c>
      <c r="AM5" s="21">
        <v>0.0</v>
      </c>
      <c r="AN5" s="16"/>
    </row>
    <row r="6" ht="15.75" customHeight="1">
      <c r="A6" s="23"/>
      <c r="B6" s="11">
        <v>45953.0</v>
      </c>
      <c r="C6" s="12" t="s">
        <v>30</v>
      </c>
      <c r="D6" s="13" t="s">
        <v>22</v>
      </c>
      <c r="E6" s="14" t="s">
        <v>39</v>
      </c>
      <c r="F6" s="15"/>
      <c r="G6" s="15" t="s">
        <v>24</v>
      </c>
      <c r="H6" s="15"/>
      <c r="I6" s="14" t="s">
        <v>40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17" t="s">
        <v>32</v>
      </c>
      <c r="P6" s="16">
        <f t="shared" si="3"/>
        <v>0</v>
      </c>
      <c r="Q6" s="16">
        <f t="shared" si="4"/>
        <v>0</v>
      </c>
      <c r="R6" s="18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2"/>
      <c r="X6" s="3"/>
      <c r="Y6" s="3"/>
      <c r="Z6" s="2"/>
      <c r="AA6" s="2"/>
      <c r="AB6" s="2"/>
      <c r="AC6" s="2"/>
      <c r="AD6" s="2"/>
      <c r="AE6" s="20" t="s">
        <v>41</v>
      </c>
      <c r="AF6" s="21" t="s">
        <v>32</v>
      </c>
      <c r="AG6" s="21">
        <v>0.0</v>
      </c>
      <c r="AH6" s="21">
        <v>0.0</v>
      </c>
      <c r="AI6" s="22">
        <v>0.0</v>
      </c>
      <c r="AJ6" s="21">
        <v>0.0</v>
      </c>
      <c r="AK6" s="21">
        <v>0.0</v>
      </c>
      <c r="AL6" s="22">
        <v>0.0</v>
      </c>
      <c r="AM6" s="21">
        <v>0.0</v>
      </c>
      <c r="AN6" s="16"/>
    </row>
    <row r="7" ht="15.75" customHeight="1">
      <c r="A7" s="23"/>
      <c r="B7" s="11">
        <v>45953.0</v>
      </c>
      <c r="C7" s="12" t="s">
        <v>35</v>
      </c>
      <c r="D7" s="13" t="s">
        <v>22</v>
      </c>
      <c r="E7" s="14" t="s">
        <v>42</v>
      </c>
      <c r="F7" s="27"/>
      <c r="G7" s="15" t="s">
        <v>24</v>
      </c>
      <c r="H7" s="27"/>
      <c r="I7" s="14" t="s">
        <v>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17" t="s">
        <v>36</v>
      </c>
      <c r="P7" s="16">
        <f t="shared" si="3"/>
        <v>0</v>
      </c>
      <c r="Q7" s="16">
        <f t="shared" si="4"/>
        <v>0</v>
      </c>
      <c r="R7" s="18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2"/>
      <c r="X7" s="3"/>
      <c r="Y7" s="2"/>
      <c r="Z7" s="2"/>
      <c r="AA7" s="2"/>
      <c r="AB7" s="2"/>
      <c r="AC7" s="2"/>
      <c r="AD7" s="2"/>
      <c r="AE7" s="20" t="s">
        <v>44</v>
      </c>
      <c r="AF7" s="21" t="s">
        <v>36</v>
      </c>
      <c r="AG7" s="21">
        <v>0.0</v>
      </c>
      <c r="AH7" s="21">
        <v>0.0</v>
      </c>
      <c r="AI7" s="22">
        <v>0.0</v>
      </c>
      <c r="AJ7" s="21">
        <v>0.0</v>
      </c>
      <c r="AK7" s="21">
        <v>0.0</v>
      </c>
      <c r="AL7" s="22">
        <v>0.0</v>
      </c>
      <c r="AM7" s="21">
        <v>0.0</v>
      </c>
      <c r="AN7" s="16"/>
    </row>
    <row r="8" ht="15.75" customHeight="1">
      <c r="A8" s="28"/>
      <c r="B8" s="29"/>
      <c r="C8" s="30"/>
      <c r="D8" s="13"/>
      <c r="E8" s="14">
        <v>0.0</v>
      </c>
      <c r="F8" s="15"/>
      <c r="G8" s="15" t="s">
        <v>24</v>
      </c>
      <c r="H8" s="15"/>
      <c r="I8" s="14" t="s">
        <v>45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17" t="s">
        <v>33</v>
      </c>
      <c r="P8" s="16">
        <f t="shared" si="3"/>
        <v>0</v>
      </c>
      <c r="Q8" s="16">
        <f t="shared" si="4"/>
        <v>0</v>
      </c>
      <c r="R8" s="18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0" t="s">
        <v>47</v>
      </c>
      <c r="AF8" s="21" t="s">
        <v>33</v>
      </c>
      <c r="AG8" s="21">
        <v>0.0</v>
      </c>
      <c r="AH8" s="21">
        <v>0.0</v>
      </c>
      <c r="AI8" s="22">
        <v>0.0</v>
      </c>
      <c r="AJ8" s="21">
        <v>0.0</v>
      </c>
      <c r="AK8" s="21">
        <v>0.0</v>
      </c>
      <c r="AL8" s="22">
        <v>0.0</v>
      </c>
      <c r="AM8" s="21">
        <v>0.0</v>
      </c>
      <c r="AN8" s="16"/>
    </row>
    <row r="9" ht="15.75" customHeight="1">
      <c r="A9" s="10">
        <v>2.0</v>
      </c>
      <c r="B9" s="29"/>
      <c r="C9" s="30"/>
      <c r="D9" s="13"/>
      <c r="E9" s="14" t="s">
        <v>25</v>
      </c>
      <c r="F9" s="27"/>
      <c r="G9" s="15" t="s">
        <v>24</v>
      </c>
      <c r="H9" s="15"/>
      <c r="I9" s="14">
        <v>0.0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17" t="s">
        <v>39</v>
      </c>
      <c r="P9" s="16">
        <f t="shared" si="3"/>
        <v>0</v>
      </c>
      <c r="Q9" s="16">
        <f t="shared" si="4"/>
        <v>0</v>
      </c>
      <c r="R9" s="18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2"/>
      <c r="X9" s="19" t="s">
        <v>26</v>
      </c>
      <c r="Y9" s="19" t="s">
        <v>13</v>
      </c>
      <c r="Z9" s="32"/>
      <c r="AC9" s="2"/>
      <c r="AD9" s="2"/>
      <c r="AE9" s="20" t="s">
        <v>48</v>
      </c>
      <c r="AF9" s="21" t="s">
        <v>39</v>
      </c>
      <c r="AG9" s="21">
        <v>0.0</v>
      </c>
      <c r="AH9" s="21">
        <v>0.0</v>
      </c>
      <c r="AI9" s="22">
        <v>0.0</v>
      </c>
      <c r="AJ9" s="21">
        <v>0.0</v>
      </c>
      <c r="AK9" s="21">
        <v>0.0</v>
      </c>
      <c r="AL9" s="22">
        <v>0.0</v>
      </c>
      <c r="AM9" s="21">
        <v>0.0</v>
      </c>
      <c r="AN9" s="16"/>
    </row>
    <row r="10" ht="15.75" customHeight="1">
      <c r="A10" s="23"/>
      <c r="B10" s="29"/>
      <c r="C10" s="30"/>
      <c r="D10" s="13"/>
      <c r="E10" s="14" t="s">
        <v>32</v>
      </c>
      <c r="F10" s="27"/>
      <c r="G10" s="15" t="s">
        <v>24</v>
      </c>
      <c r="H10" s="27"/>
      <c r="I10" s="14" t="s">
        <v>23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17" t="s">
        <v>40</v>
      </c>
      <c r="P10" s="16">
        <f t="shared" si="3"/>
        <v>0</v>
      </c>
      <c r="Q10" s="16">
        <f t="shared" si="4"/>
        <v>0</v>
      </c>
      <c r="R10" s="18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2"/>
      <c r="X10" s="25" t="s">
        <v>42</v>
      </c>
      <c r="Y10" s="25">
        <v>5.0</v>
      </c>
      <c r="AC10" s="2"/>
      <c r="AD10" s="2"/>
      <c r="AE10" s="20">
        <v>8.0</v>
      </c>
      <c r="AF10" s="21" t="s">
        <v>40</v>
      </c>
      <c r="AG10" s="21">
        <v>0.0</v>
      </c>
      <c r="AH10" s="21">
        <v>0.0</v>
      </c>
      <c r="AI10" s="22">
        <v>0.0</v>
      </c>
      <c r="AJ10" s="21">
        <v>0.0</v>
      </c>
      <c r="AK10" s="21">
        <v>0.0</v>
      </c>
      <c r="AL10" s="22">
        <v>0.0</v>
      </c>
      <c r="AM10" s="21">
        <v>0.0</v>
      </c>
      <c r="AN10" s="16"/>
    </row>
    <row r="11" ht="15.75" customHeight="1">
      <c r="A11" s="23"/>
      <c r="B11" s="29"/>
      <c r="C11" s="30"/>
      <c r="D11" s="13"/>
      <c r="E11" s="14" t="s">
        <v>33</v>
      </c>
      <c r="F11" s="15"/>
      <c r="G11" s="15" t="s">
        <v>24</v>
      </c>
      <c r="H11" s="15"/>
      <c r="I11" s="14" t="s">
        <v>31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17" t="s">
        <v>49</v>
      </c>
      <c r="P11" s="16">
        <f t="shared" si="3"/>
        <v>0</v>
      </c>
      <c r="Q11" s="16">
        <f t="shared" si="4"/>
        <v>0</v>
      </c>
      <c r="R11" s="18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2"/>
      <c r="X11" s="25" t="s">
        <v>39</v>
      </c>
      <c r="Y11" s="25">
        <v>4.0</v>
      </c>
      <c r="AC11" s="2"/>
      <c r="AD11" s="2"/>
      <c r="AE11" s="20">
        <v>9.0</v>
      </c>
      <c r="AF11" s="21" t="s">
        <v>49</v>
      </c>
      <c r="AG11" s="21">
        <v>0.0</v>
      </c>
      <c r="AH11" s="21">
        <v>0.0</v>
      </c>
      <c r="AI11" s="22">
        <v>0.0</v>
      </c>
      <c r="AJ11" s="21">
        <v>0.0</v>
      </c>
      <c r="AK11" s="21">
        <v>0.0</v>
      </c>
      <c r="AL11" s="22">
        <v>0.0</v>
      </c>
      <c r="AM11" s="21">
        <v>0.0</v>
      </c>
      <c r="AN11" s="16"/>
    </row>
    <row r="12" ht="15.75" customHeight="1">
      <c r="A12" s="23"/>
      <c r="B12" s="29"/>
      <c r="C12" s="30"/>
      <c r="D12" s="13"/>
      <c r="E12" s="14" t="s">
        <v>40</v>
      </c>
      <c r="F12" s="15"/>
      <c r="G12" s="15" t="s">
        <v>24</v>
      </c>
      <c r="H12" s="15"/>
      <c r="I12" s="14" t="s">
        <v>36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17" t="s">
        <v>43</v>
      </c>
      <c r="P12" s="16">
        <f t="shared" si="3"/>
        <v>0</v>
      </c>
      <c r="Q12" s="16">
        <f t="shared" si="4"/>
        <v>0</v>
      </c>
      <c r="R12" s="18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2"/>
      <c r="X12" s="25" t="s">
        <v>31</v>
      </c>
      <c r="Y12" s="25">
        <v>3.0</v>
      </c>
      <c r="AC12" s="2"/>
      <c r="AD12" s="2"/>
      <c r="AE12" s="33">
        <v>10.0</v>
      </c>
      <c r="AF12" s="21" t="s">
        <v>43</v>
      </c>
      <c r="AG12" s="21">
        <v>0.0</v>
      </c>
      <c r="AH12" s="21">
        <v>0.0</v>
      </c>
      <c r="AI12" s="22">
        <v>0.0</v>
      </c>
      <c r="AJ12" s="21">
        <v>0.0</v>
      </c>
      <c r="AK12" s="21">
        <v>0.0</v>
      </c>
      <c r="AL12" s="22">
        <v>0.0</v>
      </c>
      <c r="AM12" s="21">
        <v>0.0</v>
      </c>
      <c r="AN12" s="16"/>
    </row>
    <row r="13" ht="15.75" customHeight="1">
      <c r="A13" s="23"/>
      <c r="B13" s="29"/>
      <c r="C13" s="30"/>
      <c r="D13" s="13"/>
      <c r="E13" s="14" t="s">
        <v>43</v>
      </c>
      <c r="F13" s="15"/>
      <c r="G13" s="15" t="s">
        <v>24</v>
      </c>
      <c r="H13" s="15"/>
      <c r="I13" s="14" t="s">
        <v>39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17" t="s">
        <v>45</v>
      </c>
      <c r="P13" s="16">
        <f t="shared" si="3"/>
        <v>0</v>
      </c>
      <c r="Q13" s="16">
        <f t="shared" si="4"/>
        <v>0</v>
      </c>
      <c r="R13" s="18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6" t="s">
        <v>45</v>
      </c>
      <c r="AG13" s="21">
        <v>0.0</v>
      </c>
      <c r="AH13" s="21">
        <v>0.0</v>
      </c>
      <c r="AI13" s="22">
        <v>0.0</v>
      </c>
      <c r="AJ13" s="21">
        <v>0.0</v>
      </c>
      <c r="AK13" s="21">
        <v>0.0</v>
      </c>
      <c r="AL13" s="22">
        <v>0.0</v>
      </c>
      <c r="AM13" s="21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5"/>
      <c r="G14" s="15" t="s">
        <v>24</v>
      </c>
      <c r="H14" s="15"/>
      <c r="I14" s="14" t="s">
        <v>42</v>
      </c>
      <c r="J14" s="4"/>
      <c r="K14" s="4" t="str">
        <f t="shared" si="1"/>
        <v/>
      </c>
      <c r="L14" s="16" t="str">
        <f t="shared" si="2"/>
        <v/>
      </c>
      <c r="M14" s="4"/>
      <c r="N14" s="4"/>
      <c r="O14" s="4"/>
      <c r="P14" s="16"/>
      <c r="Q14" s="16"/>
      <c r="R14" s="18"/>
      <c r="S14" s="18"/>
      <c r="T14" s="16"/>
      <c r="U14" s="18"/>
      <c r="V14" s="16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5"/>
      <c r="G15" s="15" t="s">
        <v>24</v>
      </c>
      <c r="H15" s="15"/>
      <c r="I15" s="14" t="s">
        <v>32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3"/>
      <c r="B16" s="29"/>
      <c r="C16" s="30"/>
      <c r="D16" s="13"/>
      <c r="E16" s="14" t="s">
        <v>23</v>
      </c>
      <c r="F16" s="15"/>
      <c r="G16" s="15" t="s">
        <v>24</v>
      </c>
      <c r="H16" s="15"/>
      <c r="I16" s="14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3"/>
      <c r="B17" s="29"/>
      <c r="C17" s="30"/>
      <c r="D17" s="13"/>
      <c r="E17" s="14" t="s">
        <v>31</v>
      </c>
      <c r="F17" s="15"/>
      <c r="G17" s="15" t="s">
        <v>24</v>
      </c>
      <c r="H17" s="15"/>
      <c r="I17" s="14" t="s">
        <v>40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3"/>
      <c r="B18" s="29"/>
      <c r="C18" s="15"/>
      <c r="D18" s="13"/>
      <c r="E18" s="14" t="s">
        <v>36</v>
      </c>
      <c r="F18" s="15"/>
      <c r="G18" s="15" t="s">
        <v>24</v>
      </c>
      <c r="H18" s="15"/>
      <c r="I18" s="14" t="s">
        <v>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3"/>
      <c r="B19" s="29"/>
      <c r="C19" s="30"/>
      <c r="D19" s="13"/>
      <c r="E19" s="14" t="s">
        <v>39</v>
      </c>
      <c r="F19" s="15"/>
      <c r="G19" s="15" t="s">
        <v>24</v>
      </c>
      <c r="H19" s="15"/>
      <c r="I19" s="14" t="s">
        <v>45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5"/>
      <c r="G20" s="15" t="s">
        <v>24</v>
      </c>
      <c r="H20" s="15"/>
      <c r="I20" s="14" t="s">
        <v>42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5"/>
      <c r="G21" s="15" t="s">
        <v>24</v>
      </c>
      <c r="H21" s="15"/>
      <c r="I21" s="14">
        <v>0.0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3"/>
      <c r="B22" s="29"/>
      <c r="C22" s="30"/>
      <c r="D22" s="13"/>
      <c r="E22" s="14" t="s">
        <v>33</v>
      </c>
      <c r="F22" s="15"/>
      <c r="G22" s="15" t="s">
        <v>24</v>
      </c>
      <c r="H22" s="15"/>
      <c r="I22" s="14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3"/>
      <c r="B23" s="29"/>
      <c r="C23" s="30"/>
      <c r="D23" s="13"/>
      <c r="E23" s="14" t="s">
        <v>40</v>
      </c>
      <c r="F23" s="15"/>
      <c r="G23" s="15" t="s">
        <v>24</v>
      </c>
      <c r="H23" s="15"/>
      <c r="I23" s="14" t="s">
        <v>23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3"/>
      <c r="B24" s="29"/>
      <c r="C24" s="30"/>
      <c r="D24" s="13"/>
      <c r="E24" s="14" t="s">
        <v>43</v>
      </c>
      <c r="F24" s="15"/>
      <c r="G24" s="15" t="s">
        <v>24</v>
      </c>
      <c r="H24" s="15"/>
      <c r="I24" s="14" t="s">
        <v>31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3"/>
      <c r="B25" s="29"/>
      <c r="C25" s="30"/>
      <c r="D25" s="13"/>
      <c r="E25" s="14" t="s">
        <v>45</v>
      </c>
      <c r="F25" s="15"/>
      <c r="G25" s="15" t="s">
        <v>24</v>
      </c>
      <c r="H25" s="15"/>
      <c r="I25" s="14" t="s">
        <v>36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42</v>
      </c>
      <c r="F26" s="15"/>
      <c r="G26" s="15" t="s">
        <v>24</v>
      </c>
      <c r="H26" s="15"/>
      <c r="I26" s="14" t="s">
        <v>39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/>
      <c r="G27" s="15" t="s">
        <v>24</v>
      </c>
      <c r="H27" s="15"/>
      <c r="I27" s="14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3"/>
      <c r="B28" s="29"/>
      <c r="C28" s="30"/>
      <c r="D28" s="13"/>
      <c r="E28" s="14" t="s">
        <v>25</v>
      </c>
      <c r="F28" s="15"/>
      <c r="G28" s="15" t="s">
        <v>24</v>
      </c>
      <c r="H28" s="15"/>
      <c r="I28" s="14" t="s">
        <v>40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3"/>
      <c r="B29" s="29"/>
      <c r="C29" s="30"/>
      <c r="D29" s="13"/>
      <c r="E29" s="14" t="s">
        <v>23</v>
      </c>
      <c r="F29" s="15"/>
      <c r="G29" s="15" t="s">
        <v>24</v>
      </c>
      <c r="H29" s="15"/>
      <c r="I29" s="14" t="s">
        <v>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3"/>
      <c r="B30" s="29"/>
      <c r="C30" s="30"/>
      <c r="D30" s="13"/>
      <c r="E30" s="14" t="s">
        <v>31</v>
      </c>
      <c r="F30" s="15"/>
      <c r="G30" s="15" t="s">
        <v>24</v>
      </c>
      <c r="H30" s="15"/>
      <c r="I30" s="14" t="s">
        <v>45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3"/>
      <c r="B31" s="29"/>
      <c r="C31" s="30"/>
      <c r="D31" s="13"/>
      <c r="E31" s="14" t="s">
        <v>36</v>
      </c>
      <c r="F31" s="15"/>
      <c r="G31" s="15" t="s">
        <v>24</v>
      </c>
      <c r="H31" s="15"/>
      <c r="I31" s="14" t="s">
        <v>42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5"/>
      <c r="G32" s="15" t="s">
        <v>24</v>
      </c>
      <c r="H32" s="15"/>
      <c r="I32" s="14" t="s">
        <v>39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5"/>
      <c r="G33" s="15" t="s">
        <v>24</v>
      </c>
      <c r="H33" s="15"/>
      <c r="I33" s="14">
        <v>0.0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3"/>
      <c r="B34" s="29"/>
      <c r="C34" s="30"/>
      <c r="D34" s="13"/>
      <c r="E34" s="14" t="s">
        <v>40</v>
      </c>
      <c r="F34" s="15"/>
      <c r="G34" s="15" t="s">
        <v>24</v>
      </c>
      <c r="H34" s="15"/>
      <c r="I34" s="14" t="s">
        <v>32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3"/>
      <c r="B35" s="29"/>
      <c r="C35" s="30"/>
      <c r="D35" s="13"/>
      <c r="E35" s="14" t="s">
        <v>43</v>
      </c>
      <c r="F35" s="15"/>
      <c r="G35" s="15" t="s">
        <v>24</v>
      </c>
      <c r="H35" s="15"/>
      <c r="I35" s="14" t="s">
        <v>25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3"/>
      <c r="B36" s="29"/>
      <c r="C36" s="30"/>
      <c r="D36" s="13"/>
      <c r="E36" s="14" t="s">
        <v>45</v>
      </c>
      <c r="F36" s="15"/>
      <c r="G36" s="15" t="s">
        <v>24</v>
      </c>
      <c r="H36" s="15"/>
      <c r="I36" s="14" t="s">
        <v>23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3"/>
      <c r="B37" s="29"/>
      <c r="C37" s="30"/>
      <c r="D37" s="13"/>
      <c r="E37" s="14" t="s">
        <v>42</v>
      </c>
      <c r="F37" s="15"/>
      <c r="G37" s="15" t="s">
        <v>24</v>
      </c>
      <c r="H37" s="15"/>
      <c r="I37" s="14" t="s">
        <v>31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39</v>
      </c>
      <c r="F38" s="15"/>
      <c r="G38" s="15" t="s">
        <v>24</v>
      </c>
      <c r="H38" s="15"/>
      <c r="I38" s="14" t="s">
        <v>36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5"/>
      <c r="G39" s="15" t="s">
        <v>24</v>
      </c>
      <c r="H39" s="15"/>
      <c r="I39" s="14" t="s">
        <v>40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3"/>
      <c r="B40" s="29"/>
      <c r="C40" s="30"/>
      <c r="D40" s="13"/>
      <c r="E40" s="14" t="s">
        <v>32</v>
      </c>
      <c r="F40" s="15"/>
      <c r="G40" s="15" t="s">
        <v>24</v>
      </c>
      <c r="H40" s="15"/>
      <c r="I40" s="14" t="s">
        <v>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3"/>
      <c r="B41" s="29"/>
      <c r="C41" s="30"/>
      <c r="D41" s="27"/>
      <c r="E41" s="14" t="s">
        <v>25</v>
      </c>
      <c r="F41" s="15"/>
      <c r="G41" s="15" t="s">
        <v>24</v>
      </c>
      <c r="H41" s="15"/>
      <c r="I41" s="14" t="s">
        <v>45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3"/>
      <c r="B42" s="29"/>
      <c r="C42" s="15"/>
      <c r="D42" s="13"/>
      <c r="E42" s="14" t="s">
        <v>23</v>
      </c>
      <c r="F42" s="15"/>
      <c r="G42" s="15" t="s">
        <v>24</v>
      </c>
      <c r="H42" s="15"/>
      <c r="I42" s="14" t="s">
        <v>42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3"/>
      <c r="B43" s="29"/>
      <c r="C43" s="30"/>
      <c r="D43" s="13"/>
      <c r="E43" s="14" t="s">
        <v>31</v>
      </c>
      <c r="F43" s="15"/>
      <c r="G43" s="15" t="s">
        <v>24</v>
      </c>
      <c r="H43" s="15"/>
      <c r="I43" s="14" t="s">
        <v>39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5"/>
      <c r="G44" s="15" t="s">
        <v>24</v>
      </c>
      <c r="H44" s="15"/>
      <c r="I44" s="14" t="s">
        <v>36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40</v>
      </c>
      <c r="F45" s="15"/>
      <c r="G45" s="15" t="s">
        <v>24</v>
      </c>
      <c r="H45" s="15"/>
      <c r="I45" s="14">
        <v>0.0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3"/>
      <c r="B46" s="29"/>
      <c r="C46" s="30"/>
      <c r="D46" s="13"/>
      <c r="E46" s="14" t="s">
        <v>43</v>
      </c>
      <c r="F46" s="15"/>
      <c r="G46" s="15" t="s">
        <v>24</v>
      </c>
      <c r="H46" s="15"/>
      <c r="I46" s="14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3"/>
      <c r="B47" s="29"/>
      <c r="C47" s="30"/>
      <c r="D47" s="13"/>
      <c r="E47" s="14" t="s">
        <v>45</v>
      </c>
      <c r="F47" s="15"/>
      <c r="G47" s="15" t="s">
        <v>24</v>
      </c>
      <c r="H47" s="15"/>
      <c r="I47" s="14" t="s">
        <v>32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3"/>
      <c r="B48" s="29"/>
      <c r="C48" s="30"/>
      <c r="D48" s="13"/>
      <c r="E48" s="14" t="s">
        <v>42</v>
      </c>
      <c r="F48" s="15"/>
      <c r="G48" s="15" t="s">
        <v>24</v>
      </c>
      <c r="H48" s="15"/>
      <c r="I48" s="14" t="s">
        <v>25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3"/>
      <c r="B49" s="29"/>
      <c r="C49" s="30"/>
      <c r="D49" s="13"/>
      <c r="E49" s="14" t="s">
        <v>39</v>
      </c>
      <c r="F49" s="15"/>
      <c r="G49" s="15" t="s">
        <v>24</v>
      </c>
      <c r="H49" s="15"/>
      <c r="I49" s="14" t="s">
        <v>23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5"/>
      <c r="G50" s="15" t="s">
        <v>24</v>
      </c>
      <c r="H50" s="15"/>
      <c r="I50" s="14" t="s">
        <v>31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40</v>
      </c>
      <c r="F51" s="15"/>
      <c r="G51" s="15" t="s">
        <v>24</v>
      </c>
      <c r="H51" s="15"/>
      <c r="I51" s="14" t="s">
        <v>43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3"/>
      <c r="B52" s="29"/>
      <c r="C52" s="30"/>
      <c r="D52" s="13"/>
      <c r="E52" s="14" t="s">
        <v>33</v>
      </c>
      <c r="F52" s="15"/>
      <c r="G52" s="15" t="s">
        <v>24</v>
      </c>
      <c r="H52" s="15"/>
      <c r="I52" s="14" t="s">
        <v>45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3"/>
      <c r="B53" s="29"/>
      <c r="C53" s="30"/>
      <c r="D53" s="13"/>
      <c r="E53" s="14" t="s">
        <v>32</v>
      </c>
      <c r="F53" s="15"/>
      <c r="G53" s="15" t="s">
        <v>24</v>
      </c>
      <c r="H53" s="15"/>
      <c r="I53" s="14" t="s">
        <v>42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3"/>
      <c r="B54" s="29"/>
      <c r="C54" s="30"/>
      <c r="D54" s="13"/>
      <c r="E54" s="14" t="s">
        <v>25</v>
      </c>
      <c r="F54" s="15"/>
      <c r="G54" s="15" t="s">
        <v>24</v>
      </c>
      <c r="H54" s="15"/>
      <c r="I54" s="14" t="s">
        <v>39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3"/>
      <c r="B55" s="29"/>
      <c r="C55" s="30"/>
      <c r="D55" s="13"/>
      <c r="E55" s="14" t="s">
        <v>23</v>
      </c>
      <c r="F55" s="15"/>
      <c r="G55" s="15" t="s">
        <v>24</v>
      </c>
      <c r="H55" s="15"/>
      <c r="I55" s="14" t="s">
        <v>36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5"/>
      <c r="G56" s="15" t="s">
        <v>24</v>
      </c>
      <c r="H56" s="15"/>
      <c r="I56" s="14" t="s">
        <v>31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5"/>
      <c r="G57" s="15" t="s">
        <v>24</v>
      </c>
      <c r="H57" s="15"/>
      <c r="I57" s="14" t="s">
        <v>43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3"/>
      <c r="B58" s="29"/>
      <c r="C58" s="30"/>
      <c r="D58" s="13"/>
      <c r="E58" s="14" t="s">
        <v>45</v>
      </c>
      <c r="F58" s="15"/>
      <c r="G58" s="15" t="s">
        <v>24</v>
      </c>
      <c r="H58" s="15"/>
      <c r="I58" s="14" t="s">
        <v>40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3"/>
      <c r="B59" s="29"/>
      <c r="C59" s="30"/>
      <c r="D59" s="13"/>
      <c r="E59" s="14" t="s">
        <v>42</v>
      </c>
      <c r="F59" s="15"/>
      <c r="G59" s="15" t="s">
        <v>24</v>
      </c>
      <c r="H59" s="15"/>
      <c r="I59" s="14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3"/>
      <c r="B60" s="29"/>
      <c r="C60" s="30"/>
      <c r="D60" s="13"/>
      <c r="E60" s="14" t="s">
        <v>39</v>
      </c>
      <c r="F60" s="15"/>
      <c r="G60" s="15" t="s">
        <v>24</v>
      </c>
      <c r="H60" s="15"/>
      <c r="I60" s="14" t="s">
        <v>32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3"/>
      <c r="B61" s="29"/>
      <c r="C61" s="30"/>
      <c r="D61" s="13"/>
      <c r="E61" s="14" t="s">
        <v>36</v>
      </c>
      <c r="F61" s="15"/>
      <c r="G61" s="15" t="s">
        <v>24</v>
      </c>
      <c r="H61" s="15"/>
      <c r="I61" s="14" t="s">
        <v>25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5"/>
      <c r="G62" s="15" t="s">
        <v>24</v>
      </c>
      <c r="H62" s="15"/>
      <c r="I62" s="14" t="s">
        <v>23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5"/>
      <c r="G63" s="15" t="s">
        <v>24</v>
      </c>
      <c r="H63" s="15"/>
      <c r="I63" s="14" t="s">
        <v>45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3"/>
      <c r="B64" s="29"/>
      <c r="C64" s="30"/>
      <c r="D64" s="13"/>
      <c r="E64" s="14" t="s">
        <v>40</v>
      </c>
      <c r="F64" s="15"/>
      <c r="G64" s="15" t="s">
        <v>24</v>
      </c>
      <c r="H64" s="15"/>
      <c r="I64" s="14" t="s">
        <v>42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3"/>
      <c r="B65" s="29"/>
      <c r="C65" s="30"/>
      <c r="D65" s="13"/>
      <c r="E65" s="14" t="s">
        <v>33</v>
      </c>
      <c r="F65" s="15"/>
      <c r="G65" s="15" t="s">
        <v>24</v>
      </c>
      <c r="H65" s="15"/>
      <c r="I65" s="14" t="s">
        <v>39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3"/>
      <c r="B66" s="29"/>
      <c r="C66" s="30"/>
      <c r="D66" s="13"/>
      <c r="E66" s="14" t="s">
        <v>32</v>
      </c>
      <c r="F66" s="15"/>
      <c r="G66" s="15" t="s">
        <v>24</v>
      </c>
      <c r="H66" s="15"/>
      <c r="I66" s="14" t="s">
        <v>36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3"/>
      <c r="B67" s="29"/>
      <c r="C67" s="30"/>
      <c r="D67" s="13"/>
      <c r="E67" s="14" t="s">
        <v>25</v>
      </c>
      <c r="F67" s="15"/>
      <c r="G67" s="15" t="s">
        <v>24</v>
      </c>
      <c r="H67" s="15"/>
      <c r="I67" s="14" t="s">
        <v>31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5"/>
      <c r="G68" s="15" t="s">
        <v>24</v>
      </c>
      <c r="H68" s="15"/>
      <c r="I68" s="14">
        <v>0.0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30"/>
      <c r="G78" s="15" t="s">
        <v>24</v>
      </c>
      <c r="H78" s="30"/>
      <c r="I78" s="40" t="s">
        <v>55</v>
      </c>
      <c r="J78" s="4"/>
      <c r="K78" s="4" t="str">
        <f t="shared" ref="K78:K143" si="11">IF(F78="","",IFS(F78&gt;H78,3,F78=H78,2,H78&gt;F78,1,F78="",0))</f>
        <v/>
      </c>
      <c r="L78" s="16" t="str">
        <f t="shared" ref="L78:L143" si="12">IF(H78="","",IFS(F78&lt;H78,3,F78=H78,2,H78&lt;F78,1))</f>
        <v/>
      </c>
      <c r="M78" s="4"/>
      <c r="N78" s="16">
        <v>1.0</v>
      </c>
      <c r="O78" s="17" t="s">
        <v>54</v>
      </c>
      <c r="P78" s="16">
        <f t="shared" ref="P78:P89" si="13">SUMIF(E$78:E$143,O78,K$78:K$143)+SUMIF(I$78:I$143,O78,L$78:L$143)</f>
        <v>0</v>
      </c>
      <c r="Q78" s="16">
        <f t="shared" ref="Q78:Q89" si="14">COUNTIFS(E$78:E$143,O78,K$78:K$143,3)+COUNTIFS(I$78:I$143,O78,L$78:L$143,3)</f>
        <v>0</v>
      </c>
      <c r="R78" s="18">
        <f t="shared" ref="R78:R89" si="15">COUNTIFS(E$78:E$143,O78,K$78:K$143,2)+COUNTIFS(I$78:I$143,O78,L$78:L$143,2)</f>
        <v>0</v>
      </c>
      <c r="S78" s="18">
        <f t="shared" ref="S78:S89" si="16">COUNTIFS(E$78:E$143,O78,K$78:K$143,1)+COUNTIFS(I$78:I$143,O78,L$78:L$143,1)</f>
        <v>0</v>
      </c>
      <c r="T78" s="16">
        <f t="shared" ref="T78:T89" si="17">SUMIF(E$78:E$143,O78,F$78:F$143)+SUMIF(I$78:I$143,O78,H$78:H$143)</f>
        <v>0</v>
      </c>
      <c r="U78" s="18">
        <f t="shared" ref="U78:U89" si="18">SUMIF(E$78:E$143,O78,H$78:H$143)+SUMIF(I$78:I$143,O78,F$78:F$143)</f>
        <v>0</v>
      </c>
      <c r="V78" s="16">
        <f t="shared" ref="V78:V89" si="19">T78-U78</f>
        <v>0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1" t="str">
        <f t="array" ref="AF78:AM89">SORT(O78:V89,2,FALSE,9,FALSE,8,FALSE())</f>
        <v>Administração Pública</v>
      </c>
      <c r="AG78" s="21">
        <v>0.0</v>
      </c>
      <c r="AH78" s="21">
        <v>0.0</v>
      </c>
      <c r="AI78" s="22">
        <v>0.0</v>
      </c>
      <c r="AJ78" s="22">
        <v>0.0</v>
      </c>
      <c r="AK78" s="21">
        <v>0.0</v>
      </c>
      <c r="AL78" s="22">
        <v>0.0</v>
      </c>
      <c r="AM78" s="21">
        <v>0.0</v>
      </c>
      <c r="AN78" s="16"/>
    </row>
    <row r="79" ht="15.75" customHeight="1">
      <c r="A79" s="23"/>
      <c r="B79" s="39">
        <v>45950.0</v>
      </c>
      <c r="C79" s="12" t="s">
        <v>21</v>
      </c>
      <c r="D79" s="12" t="s">
        <v>22</v>
      </c>
      <c r="E79" s="40" t="s">
        <v>56</v>
      </c>
      <c r="F79" s="30"/>
      <c r="G79" s="15" t="s">
        <v>24</v>
      </c>
      <c r="H79" s="30"/>
      <c r="I79" s="40" t="s">
        <v>57</v>
      </c>
      <c r="J79" s="4"/>
      <c r="K79" s="4" t="str">
        <f t="shared" si="11"/>
        <v/>
      </c>
      <c r="L79" s="16" t="str">
        <f t="shared" si="12"/>
        <v/>
      </c>
      <c r="M79" s="4"/>
      <c r="N79" s="16">
        <v>2.0</v>
      </c>
      <c r="O79" s="17" t="s">
        <v>58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1" t="s">
        <v>58</v>
      </c>
      <c r="AG79" s="21">
        <v>0.0</v>
      </c>
      <c r="AH79" s="21">
        <v>0.0</v>
      </c>
      <c r="AI79" s="22">
        <v>0.0</v>
      </c>
      <c r="AJ79" s="22">
        <v>0.0</v>
      </c>
      <c r="AK79" s="21">
        <v>0.0</v>
      </c>
      <c r="AL79" s="22">
        <v>0.0</v>
      </c>
      <c r="AM79" s="21">
        <v>0.0</v>
      </c>
      <c r="AN79" s="16"/>
    </row>
    <row r="80" ht="15.75" customHeight="1">
      <c r="A80" s="23"/>
      <c r="B80" s="39">
        <v>45950.0</v>
      </c>
      <c r="C80" s="12" t="s">
        <v>30</v>
      </c>
      <c r="D80" s="12" t="s">
        <v>22</v>
      </c>
      <c r="E80" s="40" t="s">
        <v>59</v>
      </c>
      <c r="F80" s="30"/>
      <c r="G80" s="15" t="s">
        <v>24</v>
      </c>
      <c r="H80" s="30"/>
      <c r="I80" s="40" t="s">
        <v>60</v>
      </c>
      <c r="J80" s="4"/>
      <c r="K80" s="4" t="str">
        <f t="shared" si="11"/>
        <v/>
      </c>
      <c r="L80" s="16" t="str">
        <f t="shared" si="12"/>
        <v/>
      </c>
      <c r="M80" s="4"/>
      <c r="N80" s="16">
        <v>3.0</v>
      </c>
      <c r="O80" s="17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2"/>
      <c r="X80" s="2"/>
      <c r="Y80" s="2"/>
      <c r="Z80" s="2"/>
      <c r="AA80" s="2"/>
      <c r="AB80" s="2"/>
      <c r="AC80" s="2"/>
      <c r="AD80" s="2"/>
      <c r="AE80" s="20">
        <v>3.0</v>
      </c>
      <c r="AF80" s="21" t="s">
        <v>55</v>
      </c>
      <c r="AG80" s="21">
        <v>0.0</v>
      </c>
      <c r="AH80" s="21">
        <v>0.0</v>
      </c>
      <c r="AI80" s="22">
        <v>0.0</v>
      </c>
      <c r="AJ80" s="22">
        <v>0.0</v>
      </c>
      <c r="AK80" s="21">
        <v>0.0</v>
      </c>
      <c r="AL80" s="22">
        <v>0.0</v>
      </c>
      <c r="AM80" s="21">
        <v>0.0</v>
      </c>
      <c r="AN80" s="16"/>
    </row>
    <row r="81" ht="15.75" customHeight="1">
      <c r="A81" s="23"/>
      <c r="B81" s="39">
        <v>45950.0</v>
      </c>
      <c r="C81" s="12" t="s">
        <v>35</v>
      </c>
      <c r="D81" s="12" t="s">
        <v>22</v>
      </c>
      <c r="E81" s="40" t="s">
        <v>61</v>
      </c>
      <c r="F81" s="30"/>
      <c r="G81" s="15" t="s">
        <v>24</v>
      </c>
      <c r="H81" s="30"/>
      <c r="I81" s="40" t="s">
        <v>62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4.0</v>
      </c>
      <c r="O81" s="17" t="s">
        <v>63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2"/>
      <c r="X81" s="2"/>
      <c r="Y81" s="2"/>
      <c r="Z81" s="2"/>
      <c r="AA81" s="2"/>
      <c r="AB81" s="2"/>
      <c r="AC81" s="2"/>
      <c r="AD81" s="2"/>
      <c r="AE81" s="20">
        <v>4.0</v>
      </c>
      <c r="AF81" s="21" t="s">
        <v>63</v>
      </c>
      <c r="AG81" s="21">
        <v>0.0</v>
      </c>
      <c r="AH81" s="21">
        <v>0.0</v>
      </c>
      <c r="AI81" s="22">
        <v>0.0</v>
      </c>
      <c r="AJ81" s="22">
        <v>0.0</v>
      </c>
      <c r="AK81" s="21">
        <v>0.0</v>
      </c>
      <c r="AL81" s="22">
        <v>0.0</v>
      </c>
      <c r="AM81" s="21">
        <v>0.0</v>
      </c>
      <c r="AN81" s="16"/>
    </row>
    <row r="82" ht="15.75" customHeight="1">
      <c r="A82" s="23"/>
      <c r="B82" s="39">
        <v>45951.0</v>
      </c>
      <c r="C82" s="12" t="s">
        <v>53</v>
      </c>
      <c r="D82" s="12" t="s">
        <v>22</v>
      </c>
      <c r="E82" s="40" t="s">
        <v>63</v>
      </c>
      <c r="F82" s="30"/>
      <c r="G82" s="15" t="s">
        <v>24</v>
      </c>
      <c r="H82" s="30"/>
      <c r="I82" s="40" t="s">
        <v>64</v>
      </c>
      <c r="J82" s="4"/>
      <c r="K82" s="4" t="str">
        <f t="shared" si="11"/>
        <v/>
      </c>
      <c r="L82" s="16" t="str">
        <f t="shared" si="12"/>
        <v/>
      </c>
      <c r="M82" s="4"/>
      <c r="N82" s="16">
        <v>5.0</v>
      </c>
      <c r="O82" s="17" t="s">
        <v>57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2"/>
      <c r="X82" s="2"/>
      <c r="Y82" s="2"/>
      <c r="Z82" s="2"/>
      <c r="AA82" s="2"/>
      <c r="AB82" s="2"/>
      <c r="AC82" s="2"/>
      <c r="AD82" s="2"/>
      <c r="AE82" s="20">
        <v>5.0</v>
      </c>
      <c r="AF82" s="21" t="s">
        <v>57</v>
      </c>
      <c r="AG82" s="21">
        <v>0.0</v>
      </c>
      <c r="AH82" s="21">
        <v>0.0</v>
      </c>
      <c r="AI82" s="22">
        <v>0.0</v>
      </c>
      <c r="AJ82" s="22">
        <v>0.0</v>
      </c>
      <c r="AK82" s="21">
        <v>0.0</v>
      </c>
      <c r="AL82" s="22">
        <v>0.0</v>
      </c>
      <c r="AM82" s="21">
        <v>0.0</v>
      </c>
      <c r="AN82" s="16"/>
    </row>
    <row r="83" ht="15.75" customHeight="1">
      <c r="A83" s="23"/>
      <c r="B83" s="42"/>
      <c r="C83" s="30"/>
      <c r="D83" s="30"/>
      <c r="E83" s="43" t="s">
        <v>65</v>
      </c>
      <c r="F83" s="13"/>
      <c r="G83" s="15" t="s">
        <v>24</v>
      </c>
      <c r="H83" s="13"/>
      <c r="I83" s="40" t="s">
        <v>58</v>
      </c>
      <c r="J83" s="4"/>
      <c r="K83" s="4" t="str">
        <f t="shared" si="11"/>
        <v/>
      </c>
      <c r="L83" s="16" t="str">
        <f t="shared" si="12"/>
        <v/>
      </c>
      <c r="M83" s="4"/>
      <c r="N83" s="16">
        <v>6.0</v>
      </c>
      <c r="O83" s="17" t="s">
        <v>61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2"/>
      <c r="X83" s="2"/>
      <c r="Y83" s="2"/>
      <c r="Z83" s="2"/>
      <c r="AA83" s="2"/>
      <c r="AB83" s="2"/>
      <c r="AC83" s="2"/>
      <c r="AD83" s="2"/>
      <c r="AE83" s="20">
        <v>6.0</v>
      </c>
      <c r="AF83" s="21" t="s">
        <v>61</v>
      </c>
      <c r="AG83" s="21">
        <v>0.0</v>
      </c>
      <c r="AH83" s="21">
        <v>0.0</v>
      </c>
      <c r="AI83" s="22">
        <v>0.0</v>
      </c>
      <c r="AJ83" s="22">
        <v>0.0</v>
      </c>
      <c r="AK83" s="21">
        <v>0.0</v>
      </c>
      <c r="AL83" s="22">
        <v>0.0</v>
      </c>
      <c r="AM83" s="21">
        <v>0.0</v>
      </c>
      <c r="AN83" s="16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5" t="s">
        <v>24</v>
      </c>
      <c r="H84" s="30"/>
      <c r="I84" s="44" t="s">
        <v>65</v>
      </c>
      <c r="J84" s="4"/>
      <c r="K84" s="4" t="str">
        <f t="shared" si="11"/>
        <v/>
      </c>
      <c r="L84" s="16" t="str">
        <f t="shared" si="12"/>
        <v/>
      </c>
      <c r="M84" s="4"/>
      <c r="N84" s="16">
        <v>7.0</v>
      </c>
      <c r="O84" s="17" t="s">
        <v>60</v>
      </c>
      <c r="P84" s="16">
        <f t="shared" si="13"/>
        <v>0</v>
      </c>
      <c r="Q84" s="16">
        <f t="shared" si="14"/>
        <v>0</v>
      </c>
      <c r="R84" s="18">
        <f t="shared" si="15"/>
        <v>0</v>
      </c>
      <c r="S84" s="18">
        <f t="shared" si="16"/>
        <v>0</v>
      </c>
      <c r="T84" s="16">
        <f t="shared" si="17"/>
        <v>0</v>
      </c>
      <c r="U84" s="18">
        <f t="shared" si="18"/>
        <v>0</v>
      </c>
      <c r="V84" s="16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0">
        <v>7.0</v>
      </c>
      <c r="AF84" s="21" t="s">
        <v>60</v>
      </c>
      <c r="AG84" s="21">
        <v>0.0</v>
      </c>
      <c r="AH84" s="21">
        <v>0.0</v>
      </c>
      <c r="AI84" s="22">
        <v>0.0</v>
      </c>
      <c r="AJ84" s="22">
        <v>0.0</v>
      </c>
      <c r="AK84" s="21">
        <v>0.0</v>
      </c>
      <c r="AL84" s="22">
        <v>0.0</v>
      </c>
      <c r="AM84" s="21">
        <v>0.0</v>
      </c>
      <c r="AN84" s="16"/>
    </row>
    <row r="85" ht="15.75" customHeight="1">
      <c r="A85" s="23"/>
      <c r="B85" s="29"/>
      <c r="C85" s="30"/>
      <c r="D85" s="30"/>
      <c r="E85" s="40" t="s">
        <v>57</v>
      </c>
      <c r="F85" s="30"/>
      <c r="G85" s="15" t="s">
        <v>24</v>
      </c>
      <c r="H85" s="30"/>
      <c r="I85" s="40" t="s">
        <v>54</v>
      </c>
      <c r="J85" s="4"/>
      <c r="K85" s="4" t="str">
        <f t="shared" si="11"/>
        <v/>
      </c>
      <c r="L85" s="16" t="str">
        <f t="shared" si="12"/>
        <v/>
      </c>
      <c r="M85" s="4"/>
      <c r="N85" s="16">
        <v>8.0</v>
      </c>
      <c r="O85" s="17" t="s">
        <v>59</v>
      </c>
      <c r="P85" s="16">
        <f t="shared" si="13"/>
        <v>0</v>
      </c>
      <c r="Q85" s="16">
        <f t="shared" si="14"/>
        <v>0</v>
      </c>
      <c r="R85" s="18">
        <f t="shared" si="15"/>
        <v>0</v>
      </c>
      <c r="S85" s="18">
        <f t="shared" si="16"/>
        <v>0</v>
      </c>
      <c r="T85" s="16">
        <f t="shared" si="17"/>
        <v>0</v>
      </c>
      <c r="U85" s="18">
        <f t="shared" si="18"/>
        <v>0</v>
      </c>
      <c r="V85" s="16">
        <f t="shared" si="19"/>
        <v>0</v>
      </c>
      <c r="W85" s="2"/>
      <c r="X85" s="2"/>
      <c r="Y85" s="2"/>
      <c r="Z85" s="2"/>
      <c r="AA85" s="2"/>
      <c r="AB85" s="2"/>
      <c r="AC85" s="2"/>
      <c r="AD85" s="2"/>
      <c r="AE85" s="20">
        <v>8.0</v>
      </c>
      <c r="AF85" s="21" t="s">
        <v>59</v>
      </c>
      <c r="AG85" s="21">
        <v>0.0</v>
      </c>
      <c r="AH85" s="21">
        <v>0.0</v>
      </c>
      <c r="AI85" s="22">
        <v>0.0</v>
      </c>
      <c r="AJ85" s="22">
        <v>0.0</v>
      </c>
      <c r="AK85" s="21">
        <v>0.0</v>
      </c>
      <c r="AL85" s="22">
        <v>0.0</v>
      </c>
      <c r="AM85" s="21">
        <v>0.0</v>
      </c>
      <c r="AN85" s="16"/>
    </row>
    <row r="86" ht="15.75" customHeight="1">
      <c r="A86" s="23"/>
      <c r="B86" s="29"/>
      <c r="C86" s="30"/>
      <c r="D86" s="30"/>
      <c r="E86" s="40" t="s">
        <v>60</v>
      </c>
      <c r="F86" s="30"/>
      <c r="G86" s="15" t="s">
        <v>24</v>
      </c>
      <c r="H86" s="30"/>
      <c r="I86" s="40" t="s">
        <v>56</v>
      </c>
      <c r="J86" s="4"/>
      <c r="K86" s="4" t="str">
        <f t="shared" si="11"/>
        <v/>
      </c>
      <c r="L86" s="16" t="str">
        <f t="shared" si="12"/>
        <v/>
      </c>
      <c r="M86" s="4"/>
      <c r="N86" s="16">
        <v>9.0</v>
      </c>
      <c r="O86" s="17" t="s">
        <v>62</v>
      </c>
      <c r="P86" s="16">
        <f t="shared" si="13"/>
        <v>0</v>
      </c>
      <c r="Q86" s="16">
        <f t="shared" si="14"/>
        <v>0</v>
      </c>
      <c r="R86" s="18">
        <f t="shared" si="15"/>
        <v>0</v>
      </c>
      <c r="S86" s="18">
        <f t="shared" si="16"/>
        <v>0</v>
      </c>
      <c r="T86" s="16">
        <f t="shared" si="17"/>
        <v>0</v>
      </c>
      <c r="U86" s="18">
        <f t="shared" si="18"/>
        <v>0</v>
      </c>
      <c r="V86" s="16">
        <f t="shared" si="19"/>
        <v>0</v>
      </c>
      <c r="W86" s="2"/>
      <c r="X86" s="2"/>
      <c r="Y86" s="2"/>
      <c r="Z86" s="2"/>
      <c r="AA86" s="2"/>
      <c r="AB86" s="2"/>
      <c r="AC86" s="2"/>
      <c r="AD86" s="2"/>
      <c r="AE86" s="20">
        <v>9.0</v>
      </c>
      <c r="AF86" s="21" t="s">
        <v>62</v>
      </c>
      <c r="AG86" s="21">
        <v>0.0</v>
      </c>
      <c r="AH86" s="21">
        <v>0.0</v>
      </c>
      <c r="AI86" s="22">
        <v>0.0</v>
      </c>
      <c r="AJ86" s="22">
        <v>0.0</v>
      </c>
      <c r="AK86" s="21">
        <v>0.0</v>
      </c>
      <c r="AL86" s="22">
        <v>0.0</v>
      </c>
      <c r="AM86" s="21">
        <v>0.0</v>
      </c>
      <c r="AN86" s="16"/>
    </row>
    <row r="87" ht="15.75" customHeight="1">
      <c r="A87" s="23"/>
      <c r="B87" s="29"/>
      <c r="C87" s="15"/>
      <c r="D87" s="30"/>
      <c r="E87" s="40" t="s">
        <v>62</v>
      </c>
      <c r="F87" s="30"/>
      <c r="G87" s="15" t="s">
        <v>24</v>
      </c>
      <c r="H87" s="30"/>
      <c r="I87" s="40" t="s">
        <v>59</v>
      </c>
      <c r="J87" s="4"/>
      <c r="K87" s="4" t="str">
        <f t="shared" si="11"/>
        <v/>
      </c>
      <c r="L87" s="16" t="str">
        <f t="shared" si="12"/>
        <v/>
      </c>
      <c r="M87" s="4"/>
      <c r="N87" s="16">
        <v>10.0</v>
      </c>
      <c r="O87" s="17" t="s">
        <v>56</v>
      </c>
      <c r="P87" s="16">
        <f t="shared" si="13"/>
        <v>0</v>
      </c>
      <c r="Q87" s="16">
        <f t="shared" si="14"/>
        <v>0</v>
      </c>
      <c r="R87" s="18">
        <f t="shared" si="15"/>
        <v>0</v>
      </c>
      <c r="S87" s="18">
        <f t="shared" si="16"/>
        <v>0</v>
      </c>
      <c r="T87" s="16">
        <f t="shared" si="17"/>
        <v>0</v>
      </c>
      <c r="U87" s="18">
        <f t="shared" si="18"/>
        <v>0</v>
      </c>
      <c r="V87" s="16">
        <f t="shared" si="19"/>
        <v>0</v>
      </c>
      <c r="W87" s="2"/>
      <c r="X87" s="2"/>
      <c r="Y87" s="2"/>
      <c r="Z87" s="2"/>
      <c r="AA87" s="2"/>
      <c r="AB87" s="2"/>
      <c r="AC87" s="2"/>
      <c r="AD87" s="2"/>
      <c r="AE87" s="20">
        <v>10.0</v>
      </c>
      <c r="AF87" s="21" t="s">
        <v>56</v>
      </c>
      <c r="AG87" s="21">
        <v>0.0</v>
      </c>
      <c r="AH87" s="45">
        <v>0.0</v>
      </c>
      <c r="AI87" s="46">
        <v>0.0</v>
      </c>
      <c r="AJ87" s="46">
        <v>0.0</v>
      </c>
      <c r="AK87" s="45">
        <v>0.0</v>
      </c>
      <c r="AL87" s="46">
        <v>0.0</v>
      </c>
      <c r="AM87" s="45">
        <v>0.0</v>
      </c>
      <c r="AN87" s="16"/>
    </row>
    <row r="88" ht="15.75" customHeight="1">
      <c r="A88" s="23"/>
      <c r="B88" s="29"/>
      <c r="C88" s="30"/>
      <c r="D88" s="30"/>
      <c r="E88" s="40" t="s">
        <v>64</v>
      </c>
      <c r="F88" s="13"/>
      <c r="G88" s="15" t="s">
        <v>24</v>
      </c>
      <c r="H88" s="13"/>
      <c r="I88" s="40" t="s">
        <v>61</v>
      </c>
      <c r="J88" s="4"/>
      <c r="K88" s="4" t="str">
        <f t="shared" si="11"/>
        <v/>
      </c>
      <c r="L88" s="16" t="str">
        <f t="shared" si="12"/>
        <v/>
      </c>
      <c r="M88" s="4"/>
      <c r="N88" s="16">
        <v>11.0</v>
      </c>
      <c r="O88" s="17" t="s">
        <v>64</v>
      </c>
      <c r="P88" s="16">
        <f t="shared" si="13"/>
        <v>0</v>
      </c>
      <c r="Q88" s="16">
        <f t="shared" si="14"/>
        <v>0</v>
      </c>
      <c r="R88" s="18">
        <f t="shared" si="15"/>
        <v>0</v>
      </c>
      <c r="S88" s="18">
        <f t="shared" si="16"/>
        <v>0</v>
      </c>
      <c r="T88" s="16">
        <f t="shared" si="17"/>
        <v>0</v>
      </c>
      <c r="U88" s="18">
        <f t="shared" si="18"/>
        <v>0</v>
      </c>
      <c r="V88" s="16">
        <f t="shared" si="19"/>
        <v>0</v>
      </c>
      <c r="W88" s="2"/>
      <c r="X88" s="2"/>
      <c r="Y88" s="2"/>
      <c r="Z88" s="2"/>
      <c r="AA88" s="2"/>
      <c r="AB88" s="2"/>
      <c r="AC88" s="2"/>
      <c r="AD88" s="2"/>
      <c r="AE88" s="20">
        <v>11.0</v>
      </c>
      <c r="AF88" s="21" t="s">
        <v>64</v>
      </c>
      <c r="AG88" s="21">
        <v>0.0</v>
      </c>
      <c r="AH88" s="21">
        <v>0.0</v>
      </c>
      <c r="AI88" s="22">
        <v>0.0</v>
      </c>
      <c r="AJ88" s="22">
        <v>0.0</v>
      </c>
      <c r="AK88" s="21">
        <v>0.0</v>
      </c>
      <c r="AL88" s="22">
        <v>0.0</v>
      </c>
      <c r="AM88" s="21">
        <v>0.0</v>
      </c>
      <c r="AN88" s="16"/>
    </row>
    <row r="89" ht="15.75" customHeight="1">
      <c r="A89" s="28"/>
      <c r="B89" s="29"/>
      <c r="C89" s="30"/>
      <c r="D89" s="30"/>
      <c r="E89" s="40" t="s">
        <v>58</v>
      </c>
      <c r="F89" s="30"/>
      <c r="G89" s="15" t="s">
        <v>24</v>
      </c>
      <c r="H89" s="30"/>
      <c r="I89" s="40" t="s">
        <v>63</v>
      </c>
      <c r="J89" s="4"/>
      <c r="K89" s="4" t="str">
        <f t="shared" si="11"/>
        <v/>
      </c>
      <c r="L89" s="16" t="str">
        <f t="shared" si="12"/>
        <v/>
      </c>
      <c r="M89" s="4"/>
      <c r="N89" s="47">
        <v>12.0</v>
      </c>
      <c r="O89" s="43" t="s">
        <v>65</v>
      </c>
      <c r="P89" s="16">
        <f t="shared" si="13"/>
        <v>0</v>
      </c>
      <c r="Q89" s="16">
        <f t="shared" si="14"/>
        <v>0</v>
      </c>
      <c r="R89" s="18">
        <f t="shared" si="15"/>
        <v>0</v>
      </c>
      <c r="S89" s="18">
        <f t="shared" si="16"/>
        <v>0</v>
      </c>
      <c r="T89" s="16">
        <f t="shared" si="17"/>
        <v>0</v>
      </c>
      <c r="U89" s="18">
        <f t="shared" si="18"/>
        <v>0</v>
      </c>
      <c r="V89" s="16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1" t="s">
        <v>65</v>
      </c>
      <c r="AG89" s="21">
        <v>0.0</v>
      </c>
      <c r="AH89" s="21">
        <v>0.0</v>
      </c>
      <c r="AI89" s="22">
        <v>0.0</v>
      </c>
      <c r="AJ89" s="22">
        <v>0.0</v>
      </c>
      <c r="AK89" s="21">
        <v>0.0</v>
      </c>
      <c r="AL89" s="22">
        <v>0.0</v>
      </c>
      <c r="AM89" s="21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5" t="s">
        <v>24</v>
      </c>
      <c r="H90" s="30"/>
      <c r="I90" s="40" t="s">
        <v>57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3"/>
      <c r="B91" s="29"/>
      <c r="C91" s="30"/>
      <c r="D91" s="30"/>
      <c r="E91" s="40" t="s">
        <v>54</v>
      </c>
      <c r="F91" s="30"/>
      <c r="G91" s="15" t="s">
        <v>24</v>
      </c>
      <c r="H91" s="30"/>
      <c r="I91" s="40" t="s">
        <v>60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3"/>
      <c r="B92" s="29"/>
      <c r="C92" s="30"/>
      <c r="D92" s="30"/>
      <c r="E92" s="40" t="s">
        <v>56</v>
      </c>
      <c r="F92" s="30"/>
      <c r="G92" s="15" t="s">
        <v>24</v>
      </c>
      <c r="H92" s="30"/>
      <c r="I92" s="40" t="s">
        <v>62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3"/>
      <c r="B93" s="29"/>
      <c r="C93" s="30"/>
      <c r="D93" s="30"/>
      <c r="E93" s="40" t="s">
        <v>59</v>
      </c>
      <c r="F93" s="30"/>
      <c r="G93" s="15" t="s">
        <v>24</v>
      </c>
      <c r="H93" s="30"/>
      <c r="I93" s="40" t="s">
        <v>64</v>
      </c>
      <c r="J93" s="37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3"/>
      <c r="B94" s="29"/>
      <c r="C94" s="30"/>
      <c r="D94" s="30"/>
      <c r="E94" s="40" t="s">
        <v>61</v>
      </c>
      <c r="F94" s="30"/>
      <c r="G94" s="15" t="s">
        <v>24</v>
      </c>
      <c r="H94" s="30"/>
      <c r="I94" s="40" t="s">
        <v>58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5" t="s">
        <v>24</v>
      </c>
      <c r="H95" s="30"/>
      <c r="I95" s="40" t="s">
        <v>63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5" t="s">
        <v>24</v>
      </c>
      <c r="H96" s="30"/>
      <c r="I96" s="40" t="s">
        <v>65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3"/>
      <c r="B97" s="42"/>
      <c r="C97" s="30"/>
      <c r="D97" s="30"/>
      <c r="E97" s="40" t="s">
        <v>60</v>
      </c>
      <c r="F97" s="30"/>
      <c r="G97" s="15" t="s">
        <v>24</v>
      </c>
      <c r="H97" s="30"/>
      <c r="I97" s="40" t="s">
        <v>55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3"/>
      <c r="B98" s="42"/>
      <c r="C98" s="30"/>
      <c r="D98" s="30"/>
      <c r="E98" s="40" t="s">
        <v>62</v>
      </c>
      <c r="F98" s="30"/>
      <c r="G98" s="15" t="s">
        <v>24</v>
      </c>
      <c r="H98" s="30"/>
      <c r="I98" s="40" t="s">
        <v>54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3"/>
      <c r="B99" s="42"/>
      <c r="C99" s="30"/>
      <c r="D99" s="30"/>
      <c r="E99" s="40" t="s">
        <v>64</v>
      </c>
      <c r="F99" s="30"/>
      <c r="G99" s="15" t="s">
        <v>24</v>
      </c>
      <c r="H99" s="30"/>
      <c r="I99" s="40" t="s">
        <v>56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3"/>
      <c r="B100" s="42"/>
      <c r="C100" s="30"/>
      <c r="D100" s="30"/>
      <c r="E100" s="40" t="s">
        <v>58</v>
      </c>
      <c r="F100" s="30"/>
      <c r="G100" s="15" t="s">
        <v>24</v>
      </c>
      <c r="H100" s="30"/>
      <c r="I100" s="40" t="s">
        <v>59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3"/>
      <c r="B101" s="42"/>
      <c r="C101" s="30"/>
      <c r="D101" s="30"/>
      <c r="E101" s="40" t="s">
        <v>63</v>
      </c>
      <c r="F101" s="30"/>
      <c r="G101" s="15" t="s">
        <v>24</v>
      </c>
      <c r="H101" s="30"/>
      <c r="I101" s="40" t="s">
        <v>61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5" t="s">
        <v>24</v>
      </c>
      <c r="H102" s="30"/>
      <c r="I102" s="40" t="s">
        <v>60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3"/>
      <c r="B103" s="42"/>
      <c r="C103" s="30"/>
      <c r="D103" s="30"/>
      <c r="E103" s="40" t="s">
        <v>55</v>
      </c>
      <c r="F103" s="30"/>
      <c r="G103" s="15" t="s">
        <v>24</v>
      </c>
      <c r="H103" s="30"/>
      <c r="I103" s="40" t="s">
        <v>62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3"/>
      <c r="B104" s="42"/>
      <c r="C104" s="30"/>
      <c r="D104" s="30"/>
      <c r="E104" s="40" t="s">
        <v>54</v>
      </c>
      <c r="F104" s="30"/>
      <c r="G104" s="15" t="s">
        <v>24</v>
      </c>
      <c r="H104" s="3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3"/>
      <c r="B105" s="42"/>
      <c r="C105" s="30"/>
      <c r="D105" s="30"/>
      <c r="E105" s="40" t="s">
        <v>56</v>
      </c>
      <c r="F105" s="30"/>
      <c r="G105" s="15" t="s">
        <v>24</v>
      </c>
      <c r="H105" s="30"/>
      <c r="I105" s="40" t="s">
        <v>58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3"/>
      <c r="B106" s="42"/>
      <c r="C106" s="30"/>
      <c r="D106" s="30"/>
      <c r="E106" s="40" t="s">
        <v>59</v>
      </c>
      <c r="F106" s="30"/>
      <c r="G106" s="15" t="s">
        <v>24</v>
      </c>
      <c r="H106" s="30"/>
      <c r="I106" s="40" t="s">
        <v>63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5" t="s">
        <v>24</v>
      </c>
      <c r="H107" s="30"/>
      <c r="I107" s="40" t="s">
        <v>61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5" t="s">
        <v>24</v>
      </c>
      <c r="H108" s="30"/>
      <c r="I108" s="40" t="s">
        <v>65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3"/>
      <c r="B109" s="42"/>
      <c r="C109" s="30"/>
      <c r="D109" s="30"/>
      <c r="E109" s="40" t="s">
        <v>62</v>
      </c>
      <c r="F109" s="30"/>
      <c r="G109" s="15" t="s">
        <v>24</v>
      </c>
      <c r="H109" s="30"/>
      <c r="I109" s="40" t="s">
        <v>57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3"/>
      <c r="B110" s="42"/>
      <c r="C110" s="30"/>
      <c r="D110" s="30"/>
      <c r="E110" s="40" t="s">
        <v>64</v>
      </c>
      <c r="F110" s="30"/>
      <c r="G110" s="15" t="s">
        <v>24</v>
      </c>
      <c r="H110" s="30"/>
      <c r="I110" s="40" t="s">
        <v>55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3"/>
      <c r="B111" s="42"/>
      <c r="C111" s="30"/>
      <c r="D111" s="30"/>
      <c r="E111" s="40" t="s">
        <v>58</v>
      </c>
      <c r="F111" s="30"/>
      <c r="G111" s="15" t="s">
        <v>24</v>
      </c>
      <c r="H111" s="30"/>
      <c r="I111" s="40" t="s">
        <v>54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3"/>
      <c r="B112" s="42"/>
      <c r="C112" s="30"/>
      <c r="D112" s="30"/>
      <c r="E112" s="40" t="s">
        <v>63</v>
      </c>
      <c r="F112" s="30"/>
      <c r="G112" s="15" t="s">
        <v>24</v>
      </c>
      <c r="H112" s="30"/>
      <c r="I112" s="40" t="s">
        <v>56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5" t="s">
        <v>24</v>
      </c>
      <c r="H113" s="30"/>
      <c r="I113" s="40" t="s">
        <v>59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5" t="s">
        <v>24</v>
      </c>
      <c r="H114" s="30"/>
      <c r="I114" s="40" t="s">
        <v>62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3"/>
      <c r="B115" s="42"/>
      <c r="C115" s="30"/>
      <c r="D115" s="30"/>
      <c r="E115" s="40" t="s">
        <v>57</v>
      </c>
      <c r="F115" s="30"/>
      <c r="G115" s="15" t="s">
        <v>24</v>
      </c>
      <c r="H115" s="30"/>
      <c r="I115" s="40" t="s">
        <v>64</v>
      </c>
      <c r="J115" s="4"/>
      <c r="K115" s="4" t="str">
        <f t="shared" si="11"/>
        <v/>
      </c>
      <c r="L115" s="16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3"/>
      <c r="B116" s="42"/>
      <c r="C116" s="30"/>
      <c r="D116" s="15"/>
      <c r="E116" s="14" t="s">
        <v>55</v>
      </c>
      <c r="F116" s="30"/>
      <c r="G116" s="15" t="s">
        <v>24</v>
      </c>
      <c r="H116" s="30"/>
      <c r="I116" s="40" t="s">
        <v>58</v>
      </c>
      <c r="J116" s="4"/>
      <c r="K116" s="4" t="str">
        <f t="shared" si="11"/>
        <v/>
      </c>
      <c r="L116" s="16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3"/>
      <c r="B117" s="42"/>
      <c r="C117" s="30"/>
      <c r="D117" s="30"/>
      <c r="E117" s="40" t="s">
        <v>54</v>
      </c>
      <c r="F117" s="30"/>
      <c r="G117" s="15" t="s">
        <v>24</v>
      </c>
      <c r="H117" s="30"/>
      <c r="I117" s="40" t="s">
        <v>63</v>
      </c>
      <c r="J117" s="4"/>
      <c r="K117" s="4" t="str">
        <f t="shared" si="11"/>
        <v/>
      </c>
      <c r="L117" s="16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3"/>
      <c r="B118" s="42"/>
      <c r="C118" s="30"/>
      <c r="D118" s="30"/>
      <c r="E118" s="40" t="s">
        <v>56</v>
      </c>
      <c r="F118" s="30"/>
      <c r="G118" s="15" t="s">
        <v>24</v>
      </c>
      <c r="H118" s="30"/>
      <c r="I118" s="40" t="s">
        <v>61</v>
      </c>
      <c r="J118" s="4"/>
      <c r="K118" s="4" t="str">
        <f t="shared" si="11"/>
        <v/>
      </c>
      <c r="L118" s="16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5"/>
      <c r="D119" s="15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6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6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3"/>
      <c r="B121" s="42"/>
      <c r="C121" s="30"/>
      <c r="D121" s="30"/>
      <c r="E121" s="40" t="s">
        <v>64</v>
      </c>
      <c r="F121" s="30"/>
      <c r="G121" s="15" t="s">
        <v>24</v>
      </c>
      <c r="H121" s="30"/>
      <c r="I121" s="40" t="s">
        <v>60</v>
      </c>
      <c r="J121" s="4"/>
      <c r="K121" s="4" t="str">
        <f t="shared" si="11"/>
        <v/>
      </c>
      <c r="L121" s="16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3"/>
      <c r="B122" s="42"/>
      <c r="C122" s="30"/>
      <c r="D122" s="30"/>
      <c r="E122" s="40" t="s">
        <v>58</v>
      </c>
      <c r="F122" s="30"/>
      <c r="G122" s="15" t="s">
        <v>24</v>
      </c>
      <c r="H122" s="30"/>
      <c r="I122" s="40" t="s">
        <v>57</v>
      </c>
      <c r="J122" s="4"/>
      <c r="K122" s="4" t="str">
        <f t="shared" si="11"/>
        <v/>
      </c>
      <c r="L122" s="16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3"/>
      <c r="B123" s="42"/>
      <c r="C123" s="15"/>
      <c r="D123" s="30"/>
      <c r="E123" s="40" t="s">
        <v>63</v>
      </c>
      <c r="F123" s="30"/>
      <c r="G123" s="15" t="s">
        <v>24</v>
      </c>
      <c r="H123" s="30"/>
      <c r="I123" s="40" t="s">
        <v>55</v>
      </c>
      <c r="J123" s="2"/>
      <c r="K123" s="4" t="str">
        <f t="shared" si="11"/>
        <v/>
      </c>
      <c r="L123" s="16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3"/>
      <c r="B124" s="42"/>
      <c r="C124" s="30"/>
      <c r="D124" s="30"/>
      <c r="E124" s="40" t="s">
        <v>61</v>
      </c>
      <c r="F124" s="30"/>
      <c r="G124" s="15" t="s">
        <v>24</v>
      </c>
      <c r="H124" s="30"/>
      <c r="I124" s="40" t="s">
        <v>54</v>
      </c>
      <c r="J124" s="2"/>
      <c r="K124" s="4" t="str">
        <f t="shared" si="11"/>
        <v/>
      </c>
      <c r="L124" s="16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5" t="s">
        <v>24</v>
      </c>
      <c r="H125" s="30"/>
      <c r="I125" s="40" t="s">
        <v>56</v>
      </c>
      <c r="J125" s="2"/>
      <c r="K125" s="4" t="str">
        <f t="shared" si="11"/>
        <v/>
      </c>
      <c r="L125" s="16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6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3"/>
      <c r="B127" s="42"/>
      <c r="C127" s="30"/>
      <c r="D127" s="30"/>
      <c r="E127" s="40" t="s">
        <v>60</v>
      </c>
      <c r="F127" s="30"/>
      <c r="G127" s="15" t="s">
        <v>24</v>
      </c>
      <c r="H127" s="30"/>
      <c r="I127" s="40" t="s">
        <v>58</v>
      </c>
      <c r="J127" s="2"/>
      <c r="K127" s="4" t="str">
        <f t="shared" si="11"/>
        <v/>
      </c>
      <c r="L127" s="16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3"/>
      <c r="B128" s="42"/>
      <c r="C128" s="30"/>
      <c r="D128" s="30"/>
      <c r="E128" s="40" t="s">
        <v>57</v>
      </c>
      <c r="F128" s="30"/>
      <c r="G128" s="15" t="s">
        <v>24</v>
      </c>
      <c r="H128" s="30"/>
      <c r="I128" s="40" t="s">
        <v>63</v>
      </c>
      <c r="J128" s="2"/>
      <c r="K128" s="4" t="str">
        <f t="shared" si="11"/>
        <v/>
      </c>
      <c r="L128" s="16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3"/>
      <c r="B129" s="42"/>
      <c r="C129" s="30"/>
      <c r="D129" s="30"/>
      <c r="E129" s="40" t="s">
        <v>55</v>
      </c>
      <c r="F129" s="30"/>
      <c r="G129" s="15" t="s">
        <v>24</v>
      </c>
      <c r="H129" s="30"/>
      <c r="I129" s="40" t="s">
        <v>61</v>
      </c>
      <c r="J129" s="2"/>
      <c r="K129" s="4" t="str">
        <f t="shared" si="11"/>
        <v/>
      </c>
      <c r="L129" s="16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3"/>
      <c r="B130" s="42"/>
      <c r="C130" s="30"/>
      <c r="D130" s="30"/>
      <c r="E130" s="40" t="s">
        <v>54</v>
      </c>
      <c r="F130" s="30"/>
      <c r="G130" s="15" t="s">
        <v>24</v>
      </c>
      <c r="H130" s="30"/>
      <c r="I130" s="40" t="s">
        <v>59</v>
      </c>
      <c r="J130" s="2"/>
      <c r="K130" s="4" t="str">
        <f t="shared" si="11"/>
        <v/>
      </c>
      <c r="L130" s="16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5" t="s">
        <v>24</v>
      </c>
      <c r="H131" s="30"/>
      <c r="I131" s="40" t="s">
        <v>56</v>
      </c>
      <c r="J131" s="2"/>
      <c r="K131" s="4" t="str">
        <f t="shared" si="11"/>
        <v/>
      </c>
      <c r="L131" s="16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6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3"/>
      <c r="B133" s="42"/>
      <c r="C133" s="30"/>
      <c r="D133" s="30"/>
      <c r="E133" s="40" t="s">
        <v>58</v>
      </c>
      <c r="F133" s="30"/>
      <c r="G133" s="15" t="s">
        <v>24</v>
      </c>
      <c r="H133" s="30"/>
      <c r="I133" s="40" t="s">
        <v>62</v>
      </c>
      <c r="J133" s="2"/>
      <c r="K133" s="4" t="str">
        <f t="shared" si="11"/>
        <v/>
      </c>
      <c r="L133" s="16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3"/>
      <c r="B134" s="42"/>
      <c r="C134" s="30"/>
      <c r="D134" s="30"/>
      <c r="E134" s="40" t="s">
        <v>63</v>
      </c>
      <c r="F134" s="30"/>
      <c r="G134" s="15" t="s">
        <v>24</v>
      </c>
      <c r="H134" s="30"/>
      <c r="I134" s="40" t="s">
        <v>60</v>
      </c>
      <c r="J134" s="2"/>
      <c r="K134" s="4" t="str">
        <f t="shared" si="11"/>
        <v/>
      </c>
      <c r="L134" s="16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3"/>
      <c r="B135" s="42"/>
      <c r="C135" s="30"/>
      <c r="D135" s="30"/>
      <c r="E135" s="40" t="s">
        <v>61</v>
      </c>
      <c r="F135" s="30"/>
      <c r="G135" s="15" t="s">
        <v>24</v>
      </c>
      <c r="H135" s="30"/>
      <c r="I135" s="40" t="s">
        <v>57</v>
      </c>
      <c r="J135" s="2"/>
      <c r="K135" s="4" t="str">
        <f t="shared" si="11"/>
        <v/>
      </c>
      <c r="L135" s="16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3"/>
      <c r="B136" s="42"/>
      <c r="C136" s="30"/>
      <c r="D136" s="30"/>
      <c r="E136" s="40" t="s">
        <v>59</v>
      </c>
      <c r="F136" s="30"/>
      <c r="G136" s="15" t="s">
        <v>24</v>
      </c>
      <c r="H136" s="30"/>
      <c r="I136" s="40" t="s">
        <v>55</v>
      </c>
      <c r="J136" s="2"/>
      <c r="K136" s="4" t="str">
        <f t="shared" si="11"/>
        <v/>
      </c>
      <c r="L136" s="16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5" t="s">
        <v>24</v>
      </c>
      <c r="H137" s="30"/>
      <c r="I137" s="40" t="s">
        <v>54</v>
      </c>
      <c r="J137" s="2"/>
      <c r="K137" s="4" t="str">
        <f t="shared" si="11"/>
        <v/>
      </c>
      <c r="L137" s="16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6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3"/>
      <c r="B139" s="42"/>
      <c r="C139" s="30"/>
      <c r="D139" s="30"/>
      <c r="E139" s="40" t="s">
        <v>62</v>
      </c>
      <c r="F139" s="30"/>
      <c r="G139" s="15" t="s">
        <v>24</v>
      </c>
      <c r="H139" s="30"/>
      <c r="I139" s="40" t="s">
        <v>63</v>
      </c>
      <c r="J139" s="2"/>
      <c r="K139" s="4" t="str">
        <f t="shared" si="11"/>
        <v/>
      </c>
      <c r="L139" s="16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3"/>
      <c r="B140" s="42"/>
      <c r="C140" s="30"/>
      <c r="D140" s="30"/>
      <c r="E140" s="40" t="s">
        <v>60</v>
      </c>
      <c r="F140" s="30"/>
      <c r="G140" s="15" t="s">
        <v>24</v>
      </c>
      <c r="H140" s="30"/>
      <c r="I140" s="40" t="s">
        <v>61</v>
      </c>
      <c r="J140" s="2"/>
      <c r="K140" s="4" t="str">
        <f t="shared" si="11"/>
        <v/>
      </c>
      <c r="L140" s="16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3"/>
      <c r="B141" s="42"/>
      <c r="C141" s="30"/>
      <c r="D141" s="30"/>
      <c r="E141" s="40" t="s">
        <v>57</v>
      </c>
      <c r="F141" s="30"/>
      <c r="G141" s="15" t="s">
        <v>24</v>
      </c>
      <c r="H141" s="30"/>
      <c r="I141" s="14" t="s">
        <v>59</v>
      </c>
      <c r="J141" s="2"/>
      <c r="K141" s="4" t="str">
        <f t="shared" si="11"/>
        <v/>
      </c>
      <c r="L141" s="16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3"/>
      <c r="B142" s="42"/>
      <c r="C142" s="30"/>
      <c r="D142" s="30"/>
      <c r="E142" s="40" t="s">
        <v>55</v>
      </c>
      <c r="F142" s="30"/>
      <c r="G142" s="15" t="s">
        <v>24</v>
      </c>
      <c r="H142" s="30"/>
      <c r="I142" s="14" t="s">
        <v>56</v>
      </c>
      <c r="J142" s="2"/>
      <c r="K142" s="4" t="str">
        <f t="shared" si="11"/>
        <v/>
      </c>
      <c r="L142" s="16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5" t="s">
        <v>24</v>
      </c>
      <c r="H143" s="30"/>
      <c r="I143" s="40" t="s">
        <v>65</v>
      </c>
      <c r="J143" s="2"/>
      <c r="K143" s="4" t="str">
        <f t="shared" si="11"/>
        <v/>
      </c>
      <c r="L143" s="16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5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3"/>
      <c r="B151" s="39"/>
      <c r="C151" s="12"/>
      <c r="D151" s="12"/>
      <c r="E151" s="40" t="s">
        <v>71</v>
      </c>
      <c r="F151" s="30"/>
      <c r="G151" s="15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3"/>
      <c r="B152" s="39"/>
      <c r="C152" s="12"/>
      <c r="D152" s="12"/>
      <c r="E152" s="40" t="s">
        <v>73</v>
      </c>
      <c r="F152" s="30"/>
      <c r="G152" s="15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5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5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3"/>
      <c r="B155" s="42"/>
      <c r="C155" s="30"/>
      <c r="D155" s="12"/>
      <c r="E155" s="43" t="s">
        <v>80</v>
      </c>
      <c r="F155" s="13"/>
      <c r="G155" s="15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5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5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>
        <v>45952.0</v>
      </c>
      <c r="C3" s="59" t="s">
        <v>92</v>
      </c>
      <c r="D3" s="12" t="s">
        <v>22</v>
      </c>
      <c r="E3" s="40" t="s">
        <v>39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6" t="str">
        <f t="shared" ref="L3:L68" si="2">IF(H3="","",IFS(F3&lt;H3,2,F3=H3,1,H3&lt;F3,0))</f>
        <v/>
      </c>
      <c r="M3" s="4"/>
      <c r="N3" s="16">
        <v>1.0</v>
      </c>
      <c r="O3" s="61" t="s">
        <v>39</v>
      </c>
      <c r="P3" s="16">
        <f t="shared" ref="P3:P14" si="3">SUMIF(E$3:E$68,O3,K$3:K$68)+SUMIF(I$3:I$68,O3,L$3:L$68)</f>
        <v>0</v>
      </c>
      <c r="Q3" s="16">
        <f t="shared" ref="Q3:Q14" si="4">COUNTIFS(E$3:E$68,O3,K$3:K$68,2)+COUNTIFS(I$3:I$68,O3,L$3:L$68,2)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0" t="s">
        <v>29</v>
      </c>
      <c r="AE3" s="63" t="str">
        <f t="array" ref="AE3:AL14">SORT(O3:V14,2,FALSE,9,FALSE,8,FALSE())</f>
        <v>ECT</v>
      </c>
      <c r="AF3" s="21">
        <v>0.0</v>
      </c>
      <c r="AG3" s="21">
        <v>0.0</v>
      </c>
      <c r="AH3" s="21">
        <v>0.0</v>
      </c>
      <c r="AI3" s="22">
        <v>0.0</v>
      </c>
      <c r="AJ3" s="21">
        <v>0.0</v>
      </c>
      <c r="AK3" s="22">
        <v>0.0</v>
      </c>
      <c r="AL3" s="21">
        <v>0.0</v>
      </c>
      <c r="AM3" s="56"/>
    </row>
    <row r="4" ht="15.75" customHeight="1">
      <c r="A4" s="23"/>
      <c r="B4" s="39">
        <v>45952.0</v>
      </c>
      <c r="C4" s="59" t="s">
        <v>94</v>
      </c>
      <c r="D4" s="12" t="s">
        <v>22</v>
      </c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37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36"/>
      <c r="X4" s="26" t="s">
        <v>33</v>
      </c>
      <c r="Y4" s="26">
        <v>6.0</v>
      </c>
      <c r="Z4" s="56"/>
      <c r="AA4" s="56"/>
      <c r="AB4" s="56"/>
      <c r="AC4" s="56"/>
      <c r="AD4" s="20" t="s">
        <v>34</v>
      </c>
      <c r="AE4" s="63" t="s">
        <v>37</v>
      </c>
      <c r="AF4" s="21">
        <v>0.0</v>
      </c>
      <c r="AG4" s="21">
        <v>0.0</v>
      </c>
      <c r="AH4" s="21">
        <v>0.0</v>
      </c>
      <c r="AI4" s="22">
        <v>0.0</v>
      </c>
      <c r="AJ4" s="21">
        <v>0.0</v>
      </c>
      <c r="AK4" s="22">
        <v>0.0</v>
      </c>
      <c r="AL4" s="21">
        <v>0.0</v>
      </c>
      <c r="AM4" s="56"/>
    </row>
    <row r="5" ht="15.75" customHeight="1">
      <c r="A5" s="23"/>
      <c r="B5" s="39">
        <v>45952.0</v>
      </c>
      <c r="C5" s="59" t="s">
        <v>95</v>
      </c>
      <c r="D5" s="12" t="s">
        <v>22</v>
      </c>
      <c r="E5" s="40" t="s">
        <v>60</v>
      </c>
      <c r="F5" s="60"/>
      <c r="G5" s="60" t="s">
        <v>24</v>
      </c>
      <c r="H5" s="60"/>
      <c r="I5" s="40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93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36"/>
      <c r="X5" s="26" t="s">
        <v>32</v>
      </c>
      <c r="Y5" s="26">
        <v>3.0</v>
      </c>
      <c r="Z5" s="56"/>
      <c r="AA5" s="56"/>
      <c r="AB5" s="56"/>
      <c r="AC5" s="56"/>
      <c r="AD5" s="20" t="s">
        <v>38</v>
      </c>
      <c r="AE5" s="63" t="s">
        <v>93</v>
      </c>
      <c r="AF5" s="21">
        <v>0.0</v>
      </c>
      <c r="AG5" s="21">
        <v>0.0</v>
      </c>
      <c r="AH5" s="21">
        <v>0.0</v>
      </c>
      <c r="AI5" s="22">
        <v>0.0</v>
      </c>
      <c r="AJ5" s="21">
        <v>0.0</v>
      </c>
      <c r="AK5" s="22">
        <v>0.0</v>
      </c>
      <c r="AL5" s="21">
        <v>0.0</v>
      </c>
      <c r="AM5" s="56"/>
    </row>
    <row r="6" ht="15.75" customHeight="1">
      <c r="A6" s="23"/>
      <c r="B6" s="39">
        <v>45952.0</v>
      </c>
      <c r="C6" s="12" t="s">
        <v>96</v>
      </c>
      <c r="D6" s="12" t="s">
        <v>22</v>
      </c>
      <c r="E6" s="40" t="s">
        <v>97</v>
      </c>
      <c r="F6" s="60"/>
      <c r="G6" s="60" t="s">
        <v>24</v>
      </c>
      <c r="H6" s="60"/>
      <c r="I6" s="40" t="s">
        <v>62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57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26" t="s">
        <v>36</v>
      </c>
      <c r="Y6" s="26">
        <v>0.0</v>
      </c>
      <c r="Z6" s="56"/>
      <c r="AA6" s="56"/>
      <c r="AB6" s="56"/>
      <c r="AC6" s="56"/>
      <c r="AD6" s="20" t="s">
        <v>41</v>
      </c>
      <c r="AE6" s="63" t="s">
        <v>57</v>
      </c>
      <c r="AF6" s="21">
        <v>0.0</v>
      </c>
      <c r="AG6" s="21">
        <v>0.0</v>
      </c>
      <c r="AH6" s="21">
        <v>0.0</v>
      </c>
      <c r="AI6" s="22">
        <v>0.0</v>
      </c>
      <c r="AJ6" s="21">
        <v>0.0</v>
      </c>
      <c r="AK6" s="22">
        <v>0.0</v>
      </c>
      <c r="AL6" s="21">
        <v>0.0</v>
      </c>
      <c r="AM6" s="56"/>
    </row>
    <row r="7" ht="15.75" customHeight="1">
      <c r="A7" s="23"/>
      <c r="B7" s="39">
        <v>45952.0</v>
      </c>
      <c r="C7" s="64" t="s">
        <v>98</v>
      </c>
      <c r="D7" s="12" t="s">
        <v>22</v>
      </c>
      <c r="E7" s="40" t="s">
        <v>57</v>
      </c>
      <c r="F7" s="60"/>
      <c r="G7" s="60" t="s">
        <v>24</v>
      </c>
      <c r="H7" s="60"/>
      <c r="I7" s="40" t="s">
        <v>36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42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36"/>
      <c r="Y7" s="56"/>
      <c r="Z7" s="56"/>
      <c r="AA7" s="56"/>
      <c r="AB7" s="56"/>
      <c r="AC7" s="56"/>
      <c r="AD7" s="20" t="s">
        <v>44</v>
      </c>
      <c r="AE7" s="63" t="s">
        <v>42</v>
      </c>
      <c r="AF7" s="21">
        <v>0.0</v>
      </c>
      <c r="AG7" s="21">
        <v>0.0</v>
      </c>
      <c r="AH7" s="21">
        <v>0.0</v>
      </c>
      <c r="AI7" s="22">
        <v>0.0</v>
      </c>
      <c r="AJ7" s="21">
        <v>0.0</v>
      </c>
      <c r="AK7" s="22">
        <v>0.0</v>
      </c>
      <c r="AL7" s="21">
        <v>0.0</v>
      </c>
      <c r="AM7" s="56"/>
    </row>
    <row r="8" ht="15.75" customHeight="1">
      <c r="A8" s="28"/>
      <c r="B8" s="39">
        <v>45952.0</v>
      </c>
      <c r="C8" s="12" t="s">
        <v>99</v>
      </c>
      <c r="D8" s="12" t="s">
        <v>22</v>
      </c>
      <c r="E8" s="40" t="s">
        <v>25</v>
      </c>
      <c r="F8" s="60"/>
      <c r="G8" s="60" t="s">
        <v>24</v>
      </c>
      <c r="H8" s="60"/>
      <c r="I8" s="40" t="s">
        <v>37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97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6" t="s">
        <v>46</v>
      </c>
      <c r="Y8" s="7"/>
      <c r="Z8" s="7"/>
      <c r="AA8" s="7"/>
      <c r="AB8" s="8"/>
      <c r="AC8" s="56"/>
      <c r="AD8" s="20" t="s">
        <v>47</v>
      </c>
      <c r="AE8" s="63" t="s">
        <v>97</v>
      </c>
      <c r="AF8" s="21">
        <v>0.0</v>
      </c>
      <c r="AG8" s="21">
        <v>0.0</v>
      </c>
      <c r="AH8" s="21">
        <v>0.0</v>
      </c>
      <c r="AI8" s="22">
        <v>0.0</v>
      </c>
      <c r="AJ8" s="21">
        <v>0.0</v>
      </c>
      <c r="AK8" s="22">
        <v>0.0</v>
      </c>
      <c r="AL8" s="21">
        <v>0.0</v>
      </c>
      <c r="AM8" s="56"/>
    </row>
    <row r="9" ht="15.75" customHeight="1">
      <c r="A9" s="58">
        <v>2.0</v>
      </c>
      <c r="B9" s="39">
        <v>45952.0</v>
      </c>
      <c r="C9" s="12" t="s">
        <v>100</v>
      </c>
      <c r="D9" s="12" t="s">
        <v>22</v>
      </c>
      <c r="E9" s="40" t="s">
        <v>93</v>
      </c>
      <c r="F9" s="60"/>
      <c r="G9" s="60" t="s">
        <v>24</v>
      </c>
      <c r="H9" s="60"/>
      <c r="I9" s="40" t="s">
        <v>25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33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33</v>
      </c>
      <c r="AF9" s="21">
        <v>0.0</v>
      </c>
      <c r="AG9" s="21">
        <v>0.0</v>
      </c>
      <c r="AH9" s="21">
        <v>0.0</v>
      </c>
      <c r="AI9" s="22">
        <v>0.0</v>
      </c>
      <c r="AJ9" s="21">
        <v>0.0</v>
      </c>
      <c r="AK9" s="22">
        <v>0.0</v>
      </c>
      <c r="AL9" s="21">
        <v>0.0</v>
      </c>
      <c r="AM9" s="56"/>
    </row>
    <row r="10" ht="15.75" customHeight="1">
      <c r="A10" s="23"/>
      <c r="B10" s="39">
        <v>45952.0</v>
      </c>
      <c r="C10" s="64" t="s">
        <v>101</v>
      </c>
      <c r="D10" s="12" t="s">
        <v>22</v>
      </c>
      <c r="E10" s="40" t="s">
        <v>42</v>
      </c>
      <c r="F10" s="60"/>
      <c r="G10" s="60" t="s">
        <v>24</v>
      </c>
      <c r="H10" s="60"/>
      <c r="I10" s="40" t="s">
        <v>39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61" t="s">
        <v>60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65" t="s">
        <v>57</v>
      </c>
      <c r="Y10" s="65">
        <v>3.0</v>
      </c>
      <c r="Z10" s="26">
        <v>27.0</v>
      </c>
      <c r="AA10" s="26">
        <v>16.0</v>
      </c>
      <c r="AB10" s="26">
        <f t="shared" ref="AB10:AB12" si="10">Z10-AA10</f>
        <v>11</v>
      </c>
      <c r="AC10" s="56"/>
      <c r="AD10" s="48">
        <v>8.0</v>
      </c>
      <c r="AE10" s="63" t="s">
        <v>60</v>
      </c>
      <c r="AF10" s="21">
        <v>0.0</v>
      </c>
      <c r="AG10" s="21">
        <v>0.0</v>
      </c>
      <c r="AH10" s="21">
        <v>0.0</v>
      </c>
      <c r="AI10" s="22">
        <v>0.0</v>
      </c>
      <c r="AJ10" s="21">
        <v>0.0</v>
      </c>
      <c r="AK10" s="22">
        <v>0.0</v>
      </c>
      <c r="AL10" s="21">
        <v>0.0</v>
      </c>
      <c r="AM10" s="56"/>
    </row>
    <row r="11" ht="15.75" customHeight="1">
      <c r="A11" s="23"/>
      <c r="B11" s="39">
        <v>45952.0</v>
      </c>
      <c r="C11" s="64" t="s">
        <v>102</v>
      </c>
      <c r="D11" s="12" t="s">
        <v>22</v>
      </c>
      <c r="E11" s="40" t="s">
        <v>33</v>
      </c>
      <c r="F11" s="60"/>
      <c r="G11" s="60" t="s">
        <v>24</v>
      </c>
      <c r="H11" s="60"/>
      <c r="I11" s="40" t="s">
        <v>32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61" t="s">
        <v>62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26" t="s">
        <v>25</v>
      </c>
      <c r="Y11" s="26">
        <v>3.0</v>
      </c>
      <c r="Z11" s="26">
        <v>26.0</v>
      </c>
      <c r="AA11" s="26">
        <v>29.0</v>
      </c>
      <c r="AB11" s="26">
        <f t="shared" si="10"/>
        <v>-3</v>
      </c>
      <c r="AC11" s="56"/>
      <c r="AD11" s="66" t="s">
        <v>103</v>
      </c>
      <c r="AE11" s="67" t="s">
        <v>62</v>
      </c>
      <c r="AF11" s="45">
        <v>0.0</v>
      </c>
      <c r="AG11" s="45">
        <v>0.0</v>
      </c>
      <c r="AH11" s="45">
        <v>0.0</v>
      </c>
      <c r="AI11" s="46">
        <v>0.0</v>
      </c>
      <c r="AJ11" s="45">
        <v>0.0</v>
      </c>
      <c r="AK11" s="46">
        <v>0.0</v>
      </c>
      <c r="AL11" s="45">
        <v>0.0</v>
      </c>
      <c r="AM11" s="56"/>
    </row>
    <row r="12" ht="15.75" customHeight="1">
      <c r="A12" s="23"/>
      <c r="B12" s="39">
        <v>45952.0</v>
      </c>
      <c r="C12" s="64" t="s">
        <v>104</v>
      </c>
      <c r="D12" s="12" t="s">
        <v>22</v>
      </c>
      <c r="E12" s="40" t="s">
        <v>62</v>
      </c>
      <c r="F12" s="60"/>
      <c r="G12" s="60" t="s">
        <v>24</v>
      </c>
      <c r="H12" s="60"/>
      <c r="I12" s="40" t="s">
        <v>60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68" t="s">
        <v>32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26" t="s">
        <v>93</v>
      </c>
      <c r="Y12" s="26">
        <v>3.0</v>
      </c>
      <c r="Z12" s="26">
        <v>22.0</v>
      </c>
      <c r="AA12" s="26">
        <v>30.0</v>
      </c>
      <c r="AB12" s="26">
        <f t="shared" si="10"/>
        <v>-8</v>
      </c>
      <c r="AC12" s="56"/>
      <c r="AD12" s="69">
        <v>10.0</v>
      </c>
      <c r="AE12" s="63" t="s">
        <v>32</v>
      </c>
      <c r="AF12" s="21">
        <v>0.0</v>
      </c>
      <c r="AG12" s="21">
        <v>0.0</v>
      </c>
      <c r="AH12" s="21">
        <v>0.0</v>
      </c>
      <c r="AI12" s="22">
        <v>0.0</v>
      </c>
      <c r="AJ12" s="21">
        <v>0.0</v>
      </c>
      <c r="AK12" s="22">
        <v>0.0</v>
      </c>
      <c r="AL12" s="21">
        <v>0.0</v>
      </c>
      <c r="AM12" s="56"/>
    </row>
    <row r="13" ht="15.75" customHeight="1">
      <c r="A13" s="23"/>
      <c r="B13" s="11">
        <v>45952.0</v>
      </c>
      <c r="C13" s="64" t="s">
        <v>105</v>
      </c>
      <c r="D13" s="12" t="s">
        <v>22</v>
      </c>
      <c r="E13" s="40" t="s">
        <v>36</v>
      </c>
      <c r="F13" s="60"/>
      <c r="G13" s="60" t="s">
        <v>24</v>
      </c>
      <c r="H13" s="60"/>
      <c r="I13" s="40" t="s">
        <v>97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36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36</v>
      </c>
      <c r="AF13" s="21">
        <v>0.0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56"/>
    </row>
    <row r="14" ht="15.75" customHeight="1">
      <c r="A14" s="28"/>
      <c r="B14" s="11">
        <v>45952.0</v>
      </c>
      <c r="C14" s="64" t="s">
        <v>106</v>
      </c>
      <c r="D14" s="12" t="s">
        <v>22</v>
      </c>
      <c r="E14" s="40" t="s">
        <v>37</v>
      </c>
      <c r="F14" s="60"/>
      <c r="G14" s="60" t="s">
        <v>24</v>
      </c>
      <c r="H14" s="60"/>
      <c r="I14" s="40" t="s">
        <v>57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25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25</v>
      </c>
      <c r="AF14" s="21">
        <v>0.0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3"/>
      <c r="B16" s="72"/>
      <c r="C16" s="60"/>
      <c r="D16" s="60"/>
      <c r="E16" s="40" t="s">
        <v>39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3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3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3"/>
      <c r="B19" s="72"/>
      <c r="C19" s="60"/>
      <c r="D19" s="60"/>
      <c r="E19" s="40" t="s">
        <v>97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3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3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39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3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3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97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3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3"/>
      <c r="B29" s="72"/>
      <c r="C29" s="60"/>
      <c r="D29" s="75"/>
      <c r="E29" s="40" t="s">
        <v>39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3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3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97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3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3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3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39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3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97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3"/>
      <c r="B40" s="72"/>
      <c r="C40" s="60"/>
      <c r="D40" s="60"/>
      <c r="E40" s="40" t="s">
        <v>42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3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3"/>
      <c r="B42" s="72"/>
      <c r="C42" s="60"/>
      <c r="D42" s="60"/>
      <c r="E42" s="40" t="s">
        <v>39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3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97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3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3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3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3"/>
      <c r="B49" s="72"/>
      <c r="C49" s="60"/>
      <c r="D49" s="60"/>
      <c r="E49" s="40" t="s">
        <v>97</v>
      </c>
      <c r="F49" s="60"/>
      <c r="G49" s="60" t="s">
        <v>24</v>
      </c>
      <c r="H49" s="60"/>
      <c r="I49" s="40" t="s">
        <v>39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3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3"/>
      <c r="B53" s="72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3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97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3"/>
      <c r="B55" s="72"/>
      <c r="C55" s="60"/>
      <c r="D55" s="60"/>
      <c r="E55" s="40" t="s">
        <v>39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3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3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3"/>
      <c r="B60" s="72"/>
      <c r="C60" s="60"/>
      <c r="D60" s="60"/>
      <c r="E60" s="40" t="s">
        <v>97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3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39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3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3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97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3"/>
      <c r="B66" s="72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3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39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109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>
        <v>45952.0</v>
      </c>
      <c r="C74" s="59" t="s">
        <v>110</v>
      </c>
      <c r="D74" s="59" t="s">
        <v>22</v>
      </c>
      <c r="E74" s="14" t="s">
        <v>31</v>
      </c>
      <c r="F74" s="75"/>
      <c r="G74" s="60" t="s">
        <v>24</v>
      </c>
      <c r="H74" s="75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6" t="str">
        <f t="shared" ref="L74:L118" si="12">IF(H74="","",IFS(F74&lt;H74,2,F74=H74,1,H74&lt;F74,0))</f>
        <v/>
      </c>
      <c r="M74" s="4"/>
      <c r="N74" s="16">
        <v>1.0</v>
      </c>
      <c r="O74" s="70" t="s">
        <v>111</v>
      </c>
      <c r="P74" s="16">
        <f t="shared" ref="P74:P82" si="13">SUMIF(E$74:E$118,O74,K$74:K$118)+SUMIF(I$74:I$118,O74,L$74:L$118)</f>
        <v>0</v>
      </c>
      <c r="Q74" s="16">
        <f t="shared" ref="Q74:Q82" si="14">COUNTIFS(E$74:E$118,O74,K$74:K$118,2)+COUNTIFS(I$74:I$118,O74,L$74:L$118,2)</f>
        <v>0</v>
      </c>
      <c r="R74" s="18">
        <f t="shared" ref="R74:R82" si="15">COUNTIFS(E$74:E$118,O74,K$74:K$118,1)+COUNTIFS(I$74:I$118,O74,L$74:L$118,1)</f>
        <v>0</v>
      </c>
      <c r="S74" s="18">
        <f t="shared" ref="S74:S82" si="16">COUNTIFS(E$74:E$118,O74,K$74:K$118,0)+COUNTIFS(I$74:I$118,O74,L$74:L$118,0)</f>
        <v>0</v>
      </c>
      <c r="T74" s="16">
        <f t="shared" ref="T74:T82" si="17">SUMIF(E$74:E$118,O74,F$74:F$118)+SUMIF(I$74:I$118,O74,H$74:H$118)</f>
        <v>0</v>
      </c>
      <c r="U74" s="18">
        <f t="shared" ref="U74:U82" si="18">SUMIF(E$74:E$118,O74,H$74:H$118)+SUMIF(I$74:I$118,O74,F$74:F$118)</f>
        <v>0</v>
      </c>
      <c r="V74" s="16">
        <f t="shared" ref="V74:V82" si="19">T74-U74</f>
        <v>0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1">
        <v>0.0</v>
      </c>
      <c r="AG74" s="21">
        <v>0.0</v>
      </c>
      <c r="AH74" s="22">
        <v>0.0</v>
      </c>
      <c r="AI74" s="22">
        <v>0.0</v>
      </c>
      <c r="AJ74" s="21">
        <v>0.0</v>
      </c>
      <c r="AK74" s="22">
        <v>0.0</v>
      </c>
      <c r="AL74" s="21">
        <v>0.0</v>
      </c>
      <c r="AM74" s="56"/>
    </row>
    <row r="75" ht="15.75" customHeight="1">
      <c r="A75" s="23"/>
      <c r="B75" s="39">
        <v>45952.0</v>
      </c>
      <c r="C75" s="59" t="s">
        <v>110</v>
      </c>
      <c r="D75" s="59" t="s">
        <v>22</v>
      </c>
      <c r="E75" s="14" t="s">
        <v>112</v>
      </c>
      <c r="F75" s="75"/>
      <c r="G75" s="60" t="s">
        <v>24</v>
      </c>
      <c r="H75" s="75"/>
      <c r="I75" s="78" t="s">
        <v>113</v>
      </c>
      <c r="J75" s="4"/>
      <c r="K75" s="4" t="str">
        <f t="shared" si="11"/>
        <v/>
      </c>
      <c r="L75" s="16" t="str">
        <f t="shared" si="12"/>
        <v/>
      </c>
      <c r="M75" s="4"/>
      <c r="N75" s="16">
        <v>2.0</v>
      </c>
      <c r="O75" s="70" t="s">
        <v>31</v>
      </c>
      <c r="P75" s="16">
        <f t="shared" si="13"/>
        <v>0</v>
      </c>
      <c r="Q75" s="16">
        <f t="shared" si="14"/>
        <v>0</v>
      </c>
      <c r="R75" s="18">
        <f t="shared" si="15"/>
        <v>0</v>
      </c>
      <c r="S75" s="18">
        <f t="shared" si="16"/>
        <v>0</v>
      </c>
      <c r="T75" s="16">
        <f t="shared" si="17"/>
        <v>0</v>
      </c>
      <c r="U75" s="18">
        <f t="shared" si="18"/>
        <v>0</v>
      </c>
      <c r="V75" s="16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114</v>
      </c>
      <c r="AE75" s="63" t="s">
        <v>31</v>
      </c>
      <c r="AF75" s="21">
        <v>0.0</v>
      </c>
      <c r="AG75" s="21">
        <v>0.0</v>
      </c>
      <c r="AH75" s="22">
        <v>0.0</v>
      </c>
      <c r="AI75" s="22">
        <v>0.0</v>
      </c>
      <c r="AJ75" s="21">
        <v>0.0</v>
      </c>
      <c r="AK75" s="22">
        <v>0.0</v>
      </c>
      <c r="AL75" s="21">
        <v>0.0</v>
      </c>
      <c r="AM75" s="56"/>
    </row>
    <row r="76" ht="15.75" customHeight="1">
      <c r="A76" s="23"/>
      <c r="B76" s="39">
        <v>45952.0</v>
      </c>
      <c r="C76" s="59" t="s">
        <v>115</v>
      </c>
      <c r="D76" s="59" t="s">
        <v>22</v>
      </c>
      <c r="E76" s="14" t="s">
        <v>59</v>
      </c>
      <c r="F76" s="75"/>
      <c r="G76" s="60" t="s">
        <v>24</v>
      </c>
      <c r="H76" s="75"/>
      <c r="I76" s="78" t="s">
        <v>116</v>
      </c>
      <c r="J76" s="4"/>
      <c r="K76" s="4" t="str">
        <f t="shared" si="11"/>
        <v/>
      </c>
      <c r="L76" s="16" t="str">
        <f t="shared" si="12"/>
        <v/>
      </c>
      <c r="M76" s="4"/>
      <c r="N76" s="16">
        <v>3.0</v>
      </c>
      <c r="O76" s="70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20">
        <v>3.0</v>
      </c>
      <c r="AE76" s="63" t="s">
        <v>112</v>
      </c>
      <c r="AF76" s="21">
        <v>0.0</v>
      </c>
      <c r="AG76" s="21">
        <v>0.0</v>
      </c>
      <c r="AH76" s="22">
        <v>0.0</v>
      </c>
      <c r="AI76" s="22">
        <v>0.0</v>
      </c>
      <c r="AJ76" s="21">
        <v>0.0</v>
      </c>
      <c r="AK76" s="22">
        <v>0.0</v>
      </c>
      <c r="AL76" s="21">
        <v>0.0</v>
      </c>
      <c r="AM76" s="56"/>
    </row>
    <row r="77" ht="15.75" customHeight="1">
      <c r="A77" s="23"/>
      <c r="B77" s="39">
        <v>45952.0</v>
      </c>
      <c r="C77" s="12" t="s">
        <v>115</v>
      </c>
      <c r="D77" s="59" t="s">
        <v>22</v>
      </c>
      <c r="E77" s="14" t="s">
        <v>117</v>
      </c>
      <c r="F77" s="75"/>
      <c r="G77" s="60" t="s">
        <v>24</v>
      </c>
      <c r="H77" s="75"/>
      <c r="I77" s="78" t="s">
        <v>118</v>
      </c>
      <c r="J77" s="4"/>
      <c r="K77" s="4" t="str">
        <f t="shared" si="11"/>
        <v/>
      </c>
      <c r="L77" s="16" t="str">
        <f t="shared" si="12"/>
        <v/>
      </c>
      <c r="M77" s="4"/>
      <c r="N77" s="16">
        <v>4.0</v>
      </c>
      <c r="O77" s="70" t="s">
        <v>59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20">
        <v>4.0</v>
      </c>
      <c r="AE77" s="63" t="s">
        <v>59</v>
      </c>
      <c r="AF77" s="21">
        <v>0.0</v>
      </c>
      <c r="AG77" s="21">
        <v>0.0</v>
      </c>
      <c r="AH77" s="22">
        <v>0.0</v>
      </c>
      <c r="AI77" s="22">
        <v>0.0</v>
      </c>
      <c r="AJ77" s="21">
        <v>0.0</v>
      </c>
      <c r="AK77" s="22">
        <v>0.0</v>
      </c>
      <c r="AL77" s="21">
        <v>0.0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6" t="str">
        <f t="shared" si="12"/>
        <v/>
      </c>
      <c r="M78" s="4"/>
      <c r="N78" s="16">
        <v>5.0</v>
      </c>
      <c r="O78" s="70" t="s">
        <v>117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20">
        <v>5.0</v>
      </c>
      <c r="AE78" s="63" t="s">
        <v>117</v>
      </c>
      <c r="AF78" s="21">
        <v>0.0</v>
      </c>
      <c r="AG78" s="21">
        <v>0.0</v>
      </c>
      <c r="AH78" s="22">
        <v>0.0</v>
      </c>
      <c r="AI78" s="22">
        <v>0.0</v>
      </c>
      <c r="AJ78" s="21">
        <v>0.0</v>
      </c>
      <c r="AK78" s="22">
        <v>0.0</v>
      </c>
      <c r="AL78" s="21">
        <v>0.0</v>
      </c>
      <c r="AM78" s="56"/>
    </row>
    <row r="79" ht="15.75" customHeight="1">
      <c r="A79" s="10">
        <v>2.0</v>
      </c>
      <c r="B79" s="39">
        <v>45952.0</v>
      </c>
      <c r="C79" s="59" t="s">
        <v>92</v>
      </c>
      <c r="D79" s="59" t="s">
        <v>22</v>
      </c>
      <c r="E79" s="14" t="s">
        <v>111</v>
      </c>
      <c r="F79" s="75"/>
      <c r="G79" s="60" t="s">
        <v>24</v>
      </c>
      <c r="H79" s="75"/>
      <c r="I79" s="78" t="s">
        <v>112</v>
      </c>
      <c r="J79" s="4"/>
      <c r="K79" s="4" t="str">
        <f t="shared" si="11"/>
        <v/>
      </c>
      <c r="L79" s="16" t="str">
        <f t="shared" si="12"/>
        <v/>
      </c>
      <c r="M79" s="4"/>
      <c r="N79" s="16">
        <v>6.0</v>
      </c>
      <c r="O79" s="70" t="s">
        <v>55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20">
        <v>6.0</v>
      </c>
      <c r="AE79" s="63" t="s">
        <v>55</v>
      </c>
      <c r="AF79" s="21">
        <v>0.0</v>
      </c>
      <c r="AG79" s="21">
        <v>0.0</v>
      </c>
      <c r="AH79" s="22">
        <v>0.0</v>
      </c>
      <c r="AI79" s="22">
        <v>0.0</v>
      </c>
      <c r="AJ79" s="21">
        <v>0.0</v>
      </c>
      <c r="AK79" s="22">
        <v>0.0</v>
      </c>
      <c r="AL79" s="21">
        <v>0.0</v>
      </c>
      <c r="AM79" s="56"/>
    </row>
    <row r="80" ht="15.75" customHeight="1">
      <c r="A80" s="23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6" t="str">
        <f t="shared" si="12"/>
        <v/>
      </c>
      <c r="M80" s="4"/>
      <c r="N80" s="16">
        <v>7.0</v>
      </c>
      <c r="O80" s="70" t="s">
        <v>118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20">
        <v>7.0</v>
      </c>
      <c r="AE80" s="63" t="s">
        <v>118</v>
      </c>
      <c r="AF80" s="21">
        <v>0.0</v>
      </c>
      <c r="AG80" s="21">
        <v>0.0</v>
      </c>
      <c r="AH80" s="22">
        <v>0.0</v>
      </c>
      <c r="AI80" s="22">
        <v>0.0</v>
      </c>
      <c r="AJ80" s="21">
        <v>0.0</v>
      </c>
      <c r="AK80" s="22">
        <v>0.0</v>
      </c>
      <c r="AL80" s="21">
        <v>0.0</v>
      </c>
      <c r="AM80" s="56"/>
    </row>
    <row r="81" ht="15.75" customHeight="1">
      <c r="A81" s="23"/>
      <c r="B81" s="39">
        <v>45952.0</v>
      </c>
      <c r="C81" s="59" t="s">
        <v>94</v>
      </c>
      <c r="D81" s="59" t="s">
        <v>22</v>
      </c>
      <c r="E81" s="78" t="s">
        <v>113</v>
      </c>
      <c r="F81" s="75"/>
      <c r="G81" s="60" t="s">
        <v>24</v>
      </c>
      <c r="H81" s="75"/>
      <c r="I81" s="78" t="s">
        <v>59</v>
      </c>
      <c r="J81" s="4"/>
      <c r="K81" s="4" t="str">
        <f t="shared" si="11"/>
        <v/>
      </c>
      <c r="L81" s="16" t="str">
        <f t="shared" si="12"/>
        <v/>
      </c>
      <c r="M81" s="4"/>
      <c r="N81" s="16">
        <v>8.0</v>
      </c>
      <c r="O81" s="70" t="s">
        <v>116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20">
        <v>8.0</v>
      </c>
      <c r="AE81" s="63" t="s">
        <v>116</v>
      </c>
      <c r="AF81" s="21">
        <v>0.0</v>
      </c>
      <c r="AG81" s="21">
        <v>0.0</v>
      </c>
      <c r="AH81" s="22">
        <v>0.0</v>
      </c>
      <c r="AI81" s="22">
        <v>0.0</v>
      </c>
      <c r="AJ81" s="21">
        <v>0.0</v>
      </c>
      <c r="AK81" s="22">
        <v>0.0</v>
      </c>
      <c r="AL81" s="21">
        <v>0.0</v>
      </c>
      <c r="AM81" s="56"/>
    </row>
    <row r="82" ht="15.75" customHeight="1">
      <c r="A82" s="23"/>
      <c r="B82" s="11">
        <v>45952.0</v>
      </c>
      <c r="C82" s="59" t="s">
        <v>95</v>
      </c>
      <c r="D82" s="59" t="s">
        <v>22</v>
      </c>
      <c r="E82" s="14" t="s">
        <v>116</v>
      </c>
      <c r="F82" s="75"/>
      <c r="G82" s="60" t="s">
        <v>24</v>
      </c>
      <c r="H82" s="75"/>
      <c r="I82" s="78" t="s">
        <v>117</v>
      </c>
      <c r="J82" s="4"/>
      <c r="K82" s="4" t="str">
        <f t="shared" si="11"/>
        <v/>
      </c>
      <c r="L82" s="16" t="str">
        <f t="shared" si="12"/>
        <v/>
      </c>
      <c r="M82" s="4"/>
      <c r="N82" s="36">
        <v>9.0</v>
      </c>
      <c r="O82" s="70" t="s">
        <v>113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20">
        <v>9.0</v>
      </c>
      <c r="AE82" s="26" t="s">
        <v>113</v>
      </c>
      <c r="AF82" s="21">
        <v>0.0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118</v>
      </c>
      <c r="F83" s="75"/>
      <c r="G83" s="60" t="s">
        <v>24</v>
      </c>
      <c r="H83" s="75"/>
      <c r="I83" s="78" t="s">
        <v>55</v>
      </c>
      <c r="J83" s="4"/>
      <c r="K83" s="4" t="str">
        <f t="shared" si="11"/>
        <v/>
      </c>
      <c r="L83" s="16" t="str">
        <f t="shared" si="12"/>
        <v/>
      </c>
      <c r="M83" s="4"/>
      <c r="N83" s="36"/>
      <c r="O83" s="36"/>
      <c r="P83" s="16"/>
      <c r="Q83" s="16"/>
      <c r="R83" s="18"/>
      <c r="S83" s="18"/>
      <c r="T83" s="16"/>
      <c r="U83" s="18"/>
      <c r="V83" s="16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111</v>
      </c>
      <c r="J84" s="4"/>
      <c r="K84" s="4" t="str">
        <f t="shared" si="11"/>
        <v/>
      </c>
      <c r="L84" s="16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3"/>
      <c r="B85" s="72"/>
      <c r="C85" s="60"/>
      <c r="D85" s="60"/>
      <c r="E85" s="14" t="s">
        <v>112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6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3"/>
      <c r="B86" s="72"/>
      <c r="C86" s="60"/>
      <c r="D86" s="60"/>
      <c r="E86" s="14" t="s">
        <v>117</v>
      </c>
      <c r="F86" s="75"/>
      <c r="G86" s="60" t="s">
        <v>24</v>
      </c>
      <c r="H86" s="75"/>
      <c r="I86" s="78" t="s">
        <v>113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3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116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118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111</v>
      </c>
      <c r="F89" s="75"/>
      <c r="G89" s="60" t="s">
        <v>24</v>
      </c>
      <c r="H89" s="75"/>
      <c r="I89" s="78" t="s">
        <v>117</v>
      </c>
      <c r="J89" s="37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3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3"/>
      <c r="B91" s="72"/>
      <c r="C91" s="60"/>
      <c r="D91" s="60"/>
      <c r="E91" s="14" t="s">
        <v>112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3"/>
      <c r="B92" s="72"/>
      <c r="C92" s="60"/>
      <c r="D92" s="60"/>
      <c r="E92" s="78" t="s">
        <v>113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116</v>
      </c>
      <c r="F93" s="75"/>
      <c r="G93" s="60" t="s">
        <v>24</v>
      </c>
      <c r="H93" s="75"/>
      <c r="I93" s="78" t="s">
        <v>118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111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3"/>
      <c r="B95" s="72"/>
      <c r="C95" s="60"/>
      <c r="D95" s="75"/>
      <c r="E95" s="14" t="s">
        <v>117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3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3"/>
      <c r="B97" s="72"/>
      <c r="C97" s="60"/>
      <c r="D97" s="75"/>
      <c r="E97" s="14" t="s">
        <v>118</v>
      </c>
      <c r="F97" s="75"/>
      <c r="G97" s="60" t="s">
        <v>24</v>
      </c>
      <c r="H97" s="75"/>
      <c r="I97" s="78" t="s">
        <v>113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116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111</v>
      </c>
      <c r="F99" s="75"/>
      <c r="G99" s="60" t="s">
        <v>24</v>
      </c>
      <c r="H99" s="75"/>
      <c r="I99" s="78" t="s">
        <v>118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3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3"/>
      <c r="B101" s="72"/>
      <c r="C101" s="60"/>
      <c r="D101" s="75"/>
      <c r="E101" s="14" t="s">
        <v>112</v>
      </c>
      <c r="F101" s="75"/>
      <c r="G101" s="60" t="s">
        <v>24</v>
      </c>
      <c r="H101" s="75"/>
      <c r="I101" s="78" t="s">
        <v>117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3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6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113</v>
      </c>
      <c r="F103" s="75"/>
      <c r="G103" s="60" t="s">
        <v>24</v>
      </c>
      <c r="H103" s="75"/>
      <c r="I103" s="78" t="s">
        <v>116</v>
      </c>
      <c r="J103" s="56"/>
      <c r="K103" s="4" t="str">
        <f t="shared" si="11"/>
        <v/>
      </c>
      <c r="L103" s="16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116</v>
      </c>
      <c r="F104" s="75"/>
      <c r="G104" s="60" t="s">
        <v>24</v>
      </c>
      <c r="H104" s="75"/>
      <c r="I104" s="78" t="s">
        <v>111</v>
      </c>
      <c r="J104" s="56"/>
      <c r="K104" s="4" t="str">
        <f t="shared" si="11"/>
        <v/>
      </c>
      <c r="L104" s="16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3"/>
      <c r="B105" s="72"/>
      <c r="C105" s="60"/>
      <c r="D105" s="60"/>
      <c r="E105" s="14" t="s">
        <v>118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6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3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112</v>
      </c>
      <c r="J106" s="56"/>
      <c r="K106" s="4" t="str">
        <f t="shared" si="11"/>
        <v/>
      </c>
      <c r="L106" s="16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3"/>
      <c r="B107" s="72"/>
      <c r="C107" s="60"/>
      <c r="D107" s="60"/>
      <c r="E107" s="14" t="s">
        <v>117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6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113</v>
      </c>
      <c r="J108" s="56"/>
      <c r="K108" s="4" t="str">
        <f t="shared" si="11"/>
        <v/>
      </c>
      <c r="L108" s="16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111</v>
      </c>
      <c r="F109" s="75"/>
      <c r="G109" s="60" t="s">
        <v>24</v>
      </c>
      <c r="H109" s="75"/>
      <c r="I109" s="78" t="s">
        <v>113</v>
      </c>
      <c r="J109" s="56"/>
      <c r="K109" s="4" t="str">
        <f t="shared" si="11"/>
        <v/>
      </c>
      <c r="L109" s="16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3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116</v>
      </c>
      <c r="J110" s="56"/>
      <c r="K110" s="4" t="str">
        <f t="shared" si="11"/>
        <v/>
      </c>
      <c r="L110" s="16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3"/>
      <c r="B111" s="72"/>
      <c r="C111" s="60"/>
      <c r="D111" s="60"/>
      <c r="E111" s="14" t="s">
        <v>112</v>
      </c>
      <c r="F111" s="75"/>
      <c r="G111" s="60" t="s">
        <v>24</v>
      </c>
      <c r="H111" s="75"/>
      <c r="I111" s="78" t="s">
        <v>118</v>
      </c>
      <c r="J111" s="56"/>
      <c r="K111" s="4" t="str">
        <f t="shared" si="11"/>
        <v/>
      </c>
      <c r="L111" s="16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3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6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117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6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111</v>
      </c>
      <c r="J114" s="56"/>
      <c r="K114" s="4" t="str">
        <f t="shared" si="11"/>
        <v/>
      </c>
      <c r="L114" s="16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3"/>
      <c r="B115" s="72"/>
      <c r="C115" s="60"/>
      <c r="D115" s="60"/>
      <c r="E115" s="14" t="s">
        <v>113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3"/>
      <c r="B116" s="72"/>
      <c r="C116" s="60"/>
      <c r="D116" s="60"/>
      <c r="E116" s="14" t="s">
        <v>116</v>
      </c>
      <c r="F116" s="75"/>
      <c r="G116" s="60" t="s">
        <v>24</v>
      </c>
      <c r="H116" s="75"/>
      <c r="I116" s="78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3"/>
      <c r="B117" s="72"/>
      <c r="C117" s="60"/>
      <c r="D117" s="60"/>
      <c r="E117" s="14" t="s">
        <v>118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117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98</v>
      </c>
      <c r="D126" s="59" t="s">
        <v>22</v>
      </c>
      <c r="E126" s="14" t="s">
        <v>64</v>
      </c>
      <c r="F126" s="14"/>
      <c r="G126" s="60" t="s">
        <v>24</v>
      </c>
      <c r="H126" s="14"/>
      <c r="I126" s="14" t="s">
        <v>121</v>
      </c>
      <c r="J126" s="4"/>
      <c r="K126" s="4" t="str">
        <f t="shared" ref="K126:K170" si="20">IF(F126="","",IFS(F126&gt;H126,2,F126=H126,1,H126&gt;F126,0,F126="",0))</f>
        <v/>
      </c>
      <c r="L126" s="16" t="str">
        <f t="shared" ref="L126:L170" si="21">IF(H126="","",IFS(F126&lt;H126,2,F126=H126,1,H126&lt;F126,0))</f>
        <v/>
      </c>
      <c r="M126" s="4"/>
      <c r="N126" s="16">
        <v>1.0</v>
      </c>
      <c r="O126" s="70" t="s">
        <v>121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COUNTIFS(E$126:E$170,O126,K$126:K$170,2)+COUNTIFS(I$126:I$170,O126,L$126:L$170,2)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Mecânica B</v>
      </c>
      <c r="AF126" s="21">
        <v>0.0</v>
      </c>
      <c r="AG126" s="21">
        <v>0.0</v>
      </c>
      <c r="AH126" s="22">
        <v>0.0</v>
      </c>
      <c r="AI126" s="22">
        <v>0.0</v>
      </c>
      <c r="AJ126" s="21">
        <v>0.0</v>
      </c>
      <c r="AK126" s="22">
        <v>0.0</v>
      </c>
      <c r="AL126" s="21">
        <v>0.0</v>
      </c>
      <c r="AM126" s="56"/>
    </row>
    <row r="127" ht="15.75" customHeight="1">
      <c r="A127" s="23"/>
      <c r="B127" s="39">
        <v>45952.0</v>
      </c>
      <c r="C127" s="12" t="s">
        <v>99</v>
      </c>
      <c r="D127" s="59" t="s">
        <v>22</v>
      </c>
      <c r="E127" s="14" t="s">
        <v>45</v>
      </c>
      <c r="F127" s="75"/>
      <c r="G127" s="60" t="s">
        <v>24</v>
      </c>
      <c r="H127" s="75"/>
      <c r="I127" s="14" t="s">
        <v>122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70" t="s">
        <v>64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26" t="s">
        <v>37</v>
      </c>
      <c r="Y127" s="26">
        <v>3.0</v>
      </c>
      <c r="Z127" s="56"/>
      <c r="AA127" s="56"/>
      <c r="AB127" s="56"/>
      <c r="AC127" s="56"/>
      <c r="AD127" s="66" t="s">
        <v>114</v>
      </c>
      <c r="AE127" s="63" t="s">
        <v>64</v>
      </c>
      <c r="AF127" s="21">
        <v>0.0</v>
      </c>
      <c r="AG127" s="21">
        <v>0.0</v>
      </c>
      <c r="AH127" s="22">
        <v>0.0</v>
      </c>
      <c r="AI127" s="22">
        <v>0.0</v>
      </c>
      <c r="AJ127" s="21">
        <v>0.0</v>
      </c>
      <c r="AK127" s="22">
        <v>0.0</v>
      </c>
      <c r="AL127" s="21">
        <v>0.0</v>
      </c>
      <c r="AM127" s="56"/>
    </row>
    <row r="128" ht="15.75" customHeight="1">
      <c r="A128" s="23"/>
      <c r="B128" s="39">
        <v>45952.0</v>
      </c>
      <c r="C128" s="12" t="s">
        <v>100</v>
      </c>
      <c r="D128" s="59" t="s">
        <v>22</v>
      </c>
      <c r="E128" s="14" t="s">
        <v>56</v>
      </c>
      <c r="F128" s="75"/>
      <c r="G128" s="60" t="s">
        <v>24</v>
      </c>
      <c r="H128" s="75"/>
      <c r="I128" s="14" t="s">
        <v>61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70" t="s">
        <v>45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26" t="s">
        <v>118</v>
      </c>
      <c r="Y128" s="26">
        <v>0.0</v>
      </c>
      <c r="Z128" s="56"/>
      <c r="AA128" s="56"/>
      <c r="AB128" s="56"/>
      <c r="AC128" s="56"/>
      <c r="AD128" s="20">
        <v>3.0</v>
      </c>
      <c r="AE128" s="63" t="s">
        <v>45</v>
      </c>
      <c r="AF128" s="21">
        <v>0.0</v>
      </c>
      <c r="AG128" s="21">
        <v>0.0</v>
      </c>
      <c r="AH128" s="22">
        <v>0.0</v>
      </c>
      <c r="AI128" s="22">
        <v>0.0</v>
      </c>
      <c r="AJ128" s="21">
        <v>0.0</v>
      </c>
      <c r="AK128" s="22">
        <v>0.0</v>
      </c>
      <c r="AL128" s="21">
        <v>0.0</v>
      </c>
      <c r="AM128" s="56"/>
    </row>
    <row r="129" ht="15.75" customHeight="1">
      <c r="A129" s="23"/>
      <c r="B129" s="39">
        <v>45952.0</v>
      </c>
      <c r="C129" s="64" t="s">
        <v>101</v>
      </c>
      <c r="D129" s="59" t="s">
        <v>22</v>
      </c>
      <c r="E129" s="14" t="s">
        <v>54</v>
      </c>
      <c r="F129" s="75"/>
      <c r="G129" s="60" t="s">
        <v>24</v>
      </c>
      <c r="H129" s="75"/>
      <c r="I129" s="14" t="s">
        <v>123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70" t="s">
        <v>56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20">
        <v>4.0</v>
      </c>
      <c r="AE129" s="63" t="s">
        <v>56</v>
      </c>
      <c r="AF129" s="21">
        <v>0.0</v>
      </c>
      <c r="AG129" s="21">
        <v>0.0</v>
      </c>
      <c r="AH129" s="22">
        <v>0.0</v>
      </c>
      <c r="AI129" s="22">
        <v>0.0</v>
      </c>
      <c r="AJ129" s="21">
        <v>0.0</v>
      </c>
      <c r="AK129" s="22">
        <v>0.0</v>
      </c>
      <c r="AL129" s="21">
        <v>0.0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70" t="s">
        <v>54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20">
        <v>5.0</v>
      </c>
      <c r="AE130" s="63" t="s">
        <v>54</v>
      </c>
      <c r="AF130" s="21">
        <v>0.0</v>
      </c>
      <c r="AG130" s="21">
        <v>0.0</v>
      </c>
      <c r="AH130" s="22">
        <v>0.0</v>
      </c>
      <c r="AI130" s="22">
        <v>0.0</v>
      </c>
      <c r="AJ130" s="21">
        <v>0.0</v>
      </c>
      <c r="AK130" s="22">
        <v>0.0</v>
      </c>
      <c r="AL130" s="21">
        <v>0.0</v>
      </c>
      <c r="AM130" s="56"/>
    </row>
    <row r="131" ht="15.75" customHeight="1">
      <c r="A131" s="10">
        <v>2.0</v>
      </c>
      <c r="B131" s="39">
        <v>45952.0</v>
      </c>
      <c r="C131" s="59" t="s">
        <v>101</v>
      </c>
      <c r="D131" s="59" t="s">
        <v>22</v>
      </c>
      <c r="E131" s="14" t="s">
        <v>121</v>
      </c>
      <c r="F131" s="75"/>
      <c r="G131" s="60" t="s">
        <v>24</v>
      </c>
      <c r="H131" s="75"/>
      <c r="I131" s="14" t="s">
        <v>45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70" t="s">
        <v>63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20">
        <v>6.0</v>
      </c>
      <c r="AE131" s="63" t="s">
        <v>63</v>
      </c>
      <c r="AF131" s="21">
        <v>0.0</v>
      </c>
      <c r="AG131" s="21">
        <v>0.0</v>
      </c>
      <c r="AH131" s="22">
        <v>0.0</v>
      </c>
      <c r="AI131" s="22">
        <v>0.0</v>
      </c>
      <c r="AJ131" s="21">
        <v>0.0</v>
      </c>
      <c r="AK131" s="22">
        <v>0.0</v>
      </c>
      <c r="AL131" s="21">
        <v>0.0</v>
      </c>
      <c r="AM131" s="56"/>
    </row>
    <row r="132" ht="15.75" customHeight="1">
      <c r="A132" s="23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70" t="s">
        <v>123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20">
        <v>7.0</v>
      </c>
      <c r="AE132" s="63" t="s">
        <v>123</v>
      </c>
      <c r="AF132" s="21">
        <v>0.0</v>
      </c>
      <c r="AG132" s="21">
        <v>0.0</v>
      </c>
      <c r="AH132" s="22">
        <v>0.0</v>
      </c>
      <c r="AI132" s="22">
        <v>0.0</v>
      </c>
      <c r="AJ132" s="21">
        <v>0.0</v>
      </c>
      <c r="AK132" s="22">
        <v>0.0</v>
      </c>
      <c r="AL132" s="21">
        <v>0.0</v>
      </c>
      <c r="AM132" s="56"/>
    </row>
    <row r="133" ht="15.75" customHeight="1">
      <c r="A133" s="23"/>
      <c r="B133" s="39">
        <v>45952.0</v>
      </c>
      <c r="C133" s="59" t="s">
        <v>101</v>
      </c>
      <c r="D133" s="59" t="s">
        <v>22</v>
      </c>
      <c r="E133" s="14" t="s">
        <v>122</v>
      </c>
      <c r="F133" s="75"/>
      <c r="G133" s="60" t="s">
        <v>24</v>
      </c>
      <c r="H133" s="75"/>
      <c r="I133" s="14" t="s">
        <v>56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70" t="s">
        <v>61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20">
        <v>8.0</v>
      </c>
      <c r="AE133" s="63" t="s">
        <v>61</v>
      </c>
      <c r="AF133" s="21">
        <v>0.0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56"/>
    </row>
    <row r="134" ht="15.75" customHeight="1">
      <c r="A134" s="23"/>
      <c r="B134" s="11">
        <v>45952.0</v>
      </c>
      <c r="C134" s="59" t="s">
        <v>104</v>
      </c>
      <c r="D134" s="59" t="s">
        <v>22</v>
      </c>
      <c r="E134" s="14" t="s">
        <v>61</v>
      </c>
      <c r="F134" s="75"/>
      <c r="G134" s="60" t="s">
        <v>24</v>
      </c>
      <c r="H134" s="75"/>
      <c r="I134" s="14" t="s">
        <v>54</v>
      </c>
      <c r="J134" s="4"/>
      <c r="K134" s="4" t="str">
        <f t="shared" si="20"/>
        <v/>
      </c>
      <c r="L134" s="16" t="str">
        <f t="shared" si="21"/>
        <v/>
      </c>
      <c r="M134" s="4"/>
      <c r="N134" s="36">
        <v>9.0</v>
      </c>
      <c r="O134" s="70" t="s">
        <v>122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20">
        <v>9.0</v>
      </c>
      <c r="AE134" s="26" t="s">
        <v>122</v>
      </c>
      <c r="AF134" s="21">
        <v>0.0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56"/>
    </row>
    <row r="135" ht="15.75" customHeight="1">
      <c r="A135" s="28"/>
      <c r="B135" s="11">
        <v>45952.0</v>
      </c>
      <c r="C135" s="59" t="s">
        <v>104</v>
      </c>
      <c r="D135" s="59" t="s">
        <v>22</v>
      </c>
      <c r="E135" s="14" t="s">
        <v>123</v>
      </c>
      <c r="F135" s="75"/>
      <c r="G135" s="60" t="s">
        <v>24</v>
      </c>
      <c r="H135" s="75"/>
      <c r="I135" s="14" t="s">
        <v>63</v>
      </c>
      <c r="J135" s="4"/>
      <c r="K135" s="4" t="str">
        <f t="shared" si="20"/>
        <v/>
      </c>
      <c r="L135" s="16" t="str">
        <f t="shared" si="21"/>
        <v/>
      </c>
      <c r="M135" s="4"/>
      <c r="N135" s="36"/>
      <c r="O135" s="36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6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3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6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3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3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3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3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3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3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3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3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6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6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3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6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3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6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3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6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6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6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3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6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3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6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3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6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6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6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3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6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3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6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3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6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6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3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3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3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5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6" t="str">
        <f t="shared" ref="L177:L179" si="30">IF(H177="","",IFS(F177&lt;H177,2,F177=H177,1,H177&lt;F177,0))</f>
        <v/>
      </c>
      <c r="M177" s="4"/>
      <c r="N177" s="16">
        <v>1.0</v>
      </c>
      <c r="O177" s="70" t="s">
        <v>126</v>
      </c>
      <c r="P177" s="16">
        <f t="shared" ref="P177:P179" si="31">SUMIF(E$177:E$179,O177,K$177:K$179)+SUMIF(I$177:I$179,O177,L$177:L$179)</f>
        <v>0</v>
      </c>
      <c r="Q177" s="16">
        <f t="shared" ref="Q177:Q179" si="32">COUNTIFS(E$177:E$179,O177,K$177:K$179,2)+COUNTIFS(I$177:I$179,O177,L$177:L$179,2)</f>
        <v>0</v>
      </c>
      <c r="R177" s="18">
        <f t="shared" ref="R177:R179" si="33">COUNTIFS(E$177:E$179,O177,K$177:K$179,1)+COUNTIFS(I$177:I$179,O177,L$177:L$179,1)</f>
        <v>0</v>
      </c>
      <c r="S177" s="18">
        <f t="shared" ref="S177:S179" si="34">COUNTIFS(E$177:E$179,O177,K$177:K$179,0)+COUNTIFS(I$177:I$179,O177,L$177:L$179,0)</f>
        <v>0</v>
      </c>
      <c r="T177" s="16">
        <f t="shared" ref="T177:T179" si="35">SUMIF(E$177:E$179,O177,F$177:F$179)+SUMIF(I$177:I$179,O177,H$177:H$179)</f>
        <v>0</v>
      </c>
      <c r="U177" s="18">
        <f t="shared" ref="U177:U179" si="36">SUMIF(E$177:E$179,O177,H$177:H$179)+SUMIF(I$177:I$179,O177,F$177:F$179)</f>
        <v>0</v>
      </c>
      <c r="V177" s="16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1">
        <v>0.0</v>
      </c>
      <c r="AG177" s="21">
        <v>0.0</v>
      </c>
      <c r="AH177" s="22">
        <v>0.0</v>
      </c>
      <c r="AI177" s="22">
        <v>0.0</v>
      </c>
      <c r="AJ177" s="21">
        <v>0.0</v>
      </c>
      <c r="AK177" s="22">
        <v>0.0</v>
      </c>
      <c r="AL177" s="21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5" t="s">
        <v>24</v>
      </c>
      <c r="H178" s="13"/>
      <c r="I178" s="40" t="s">
        <v>128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70" t="s">
        <v>127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1">
        <v>0.0</v>
      </c>
      <c r="AG178" s="21">
        <v>0.0</v>
      </c>
      <c r="AH178" s="22">
        <v>0.0</v>
      </c>
      <c r="AI178" s="22">
        <v>0.0</v>
      </c>
      <c r="AJ178" s="21">
        <v>0.0</v>
      </c>
      <c r="AK178" s="22">
        <v>0.0</v>
      </c>
      <c r="AL178" s="21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5" t="s">
        <v>24</v>
      </c>
      <c r="H179" s="13"/>
      <c r="I179" s="40" t="s">
        <v>126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70" t="s">
        <v>128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20">
        <v>3.0</v>
      </c>
      <c r="AE179" s="63" t="s">
        <v>128</v>
      </c>
      <c r="AF179" s="21">
        <v>0.0</v>
      </c>
      <c r="AG179" s="21">
        <v>0.0</v>
      </c>
      <c r="AH179" s="22">
        <v>0.0</v>
      </c>
      <c r="AI179" s="22">
        <v>0.0</v>
      </c>
      <c r="AJ179" s="21">
        <v>0.0</v>
      </c>
      <c r="AK179" s="22">
        <v>0.0</v>
      </c>
      <c r="AL179" s="21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5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3"/>
      <c r="B187" s="39"/>
      <c r="C187" s="12"/>
      <c r="D187" s="12"/>
      <c r="E187" s="40" t="s">
        <v>71</v>
      </c>
      <c r="F187" s="30"/>
      <c r="G187" s="15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3"/>
      <c r="B188" s="39"/>
      <c r="C188" s="12"/>
      <c r="D188" s="12"/>
      <c r="E188" s="40" t="s">
        <v>73</v>
      </c>
      <c r="F188" s="30"/>
      <c r="G188" s="15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5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5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3"/>
      <c r="B191" s="42"/>
      <c r="C191" s="30"/>
      <c r="D191" s="12"/>
      <c r="E191" s="43" t="s">
        <v>80</v>
      </c>
      <c r="F191" s="13"/>
      <c r="G191" s="15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5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5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98</v>
      </c>
      <c r="D3" s="87" t="s">
        <v>133</v>
      </c>
      <c r="E3" s="40" t="s">
        <v>25</v>
      </c>
      <c r="F3" s="75"/>
      <c r="G3" s="75" t="s">
        <v>24</v>
      </c>
      <c r="H3" s="75"/>
      <c r="I3" s="40" t="s">
        <v>57</v>
      </c>
      <c r="J3" s="4"/>
      <c r="K3" s="4" t="str">
        <f t="shared" ref="K3:K51" si="1">IF(F3="","",IFS(F3&gt;H3,2,F3=H3,1,H3&gt;F3,0,F3="",0))</f>
        <v/>
      </c>
      <c r="L3" s="16" t="str">
        <f t="shared" ref="L3:L51" si="2">IF(H3="","",IFS(F3&lt;H3,2,F3=H3,1,H3&lt;F3,0))</f>
        <v/>
      </c>
      <c r="M3" s="4"/>
      <c r="N3" s="16">
        <v>1.0</v>
      </c>
      <c r="O3" s="61" t="s">
        <v>25</v>
      </c>
      <c r="P3" s="16">
        <f t="shared" ref="P3:P16" si="3">SUMIF(E$3:E$51,O3,K$3:K$51)+SUMIF(I$3:I$51,O3,L$3:L$51)</f>
        <v>0</v>
      </c>
      <c r="Q3" s="16">
        <f t="shared" ref="Q3:Q16" si="4">COUNTIFS(E$3:E$51,O3,K$3:K$51,2)+COUNTIFS(I$3:I$51,O3,L$3:L$51,2)</f>
        <v>0</v>
      </c>
      <c r="R3" s="16">
        <f t="shared" ref="R3:R16" si="5">COUNTIFS(E$3:E$51,O3,K$3:K$51,1)+COUNTIFS(I$3:I$51,O3,L$3:L$51,1)</f>
        <v>0</v>
      </c>
      <c r="S3" s="18">
        <f t="shared" ref="S3:S16" si="6">COUNTIFS(E$3:E$51,O3,K$3:K$51,0)+COUNTIFS(I$3:I$51,O3,L$3:L$51,0)</f>
        <v>0</v>
      </c>
      <c r="T3" s="16">
        <f t="shared" ref="T3:T16" si="7">SUMIF(E$3:E$51,O3,F$3:F$51)+SUMIF(I$3:I$51,O3,H$3:H$51)</f>
        <v>0</v>
      </c>
      <c r="U3" s="18">
        <f t="shared" ref="U3:U16" si="8">SUMIF(E$3:E$51,O3,H$3:H$51)+SUMIF(I$3:I$51,O3,F$3:F$51)</f>
        <v>0</v>
      </c>
      <c r="V3" s="16">
        <f t="shared" ref="V3:V16" si="9">T3-U3</f>
        <v>0</v>
      </c>
      <c r="W3" s="56"/>
      <c r="X3" s="56"/>
      <c r="Y3" s="56"/>
      <c r="Z3" s="56"/>
      <c r="AA3" s="20" t="s">
        <v>29</v>
      </c>
      <c r="AB3" s="63" t="str">
        <f t="array" ref="AB3:AI16">SORT(O3:V16,2,FALSE,8,FALSE,8,FALSE())</f>
        <v>EGI</v>
      </c>
      <c r="AC3" s="21">
        <v>0.0</v>
      </c>
      <c r="AD3" s="21">
        <v>0.0</v>
      </c>
      <c r="AE3" s="21">
        <v>0.0</v>
      </c>
      <c r="AF3" s="22">
        <v>0.0</v>
      </c>
      <c r="AG3" s="21">
        <v>0.0</v>
      </c>
      <c r="AH3" s="22">
        <v>0.0</v>
      </c>
      <c r="AI3" s="21">
        <v>0.0</v>
      </c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 ht="15.75" customHeight="1">
      <c r="A4" s="23"/>
      <c r="B4" s="39">
        <v>45951.0</v>
      </c>
      <c r="C4" s="12" t="s">
        <v>98</v>
      </c>
      <c r="D4" s="87" t="s">
        <v>133</v>
      </c>
      <c r="E4" s="40" t="s">
        <v>23</v>
      </c>
      <c r="F4" s="75"/>
      <c r="G4" s="75" t="s">
        <v>24</v>
      </c>
      <c r="H4" s="75"/>
      <c r="I4" s="40" t="s">
        <v>134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23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56"/>
      <c r="Z4" s="56"/>
      <c r="AA4" s="20" t="s">
        <v>34</v>
      </c>
      <c r="AB4" s="63" t="s">
        <v>23</v>
      </c>
      <c r="AC4" s="21">
        <v>0.0</v>
      </c>
      <c r="AD4" s="21">
        <v>0.0</v>
      </c>
      <c r="AE4" s="21">
        <v>0.0</v>
      </c>
      <c r="AF4" s="22">
        <v>0.0</v>
      </c>
      <c r="AG4" s="21">
        <v>0.0</v>
      </c>
      <c r="AH4" s="22">
        <v>0.0</v>
      </c>
      <c r="AI4" s="21">
        <v>0.0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 ht="15.75" customHeight="1">
      <c r="A5" s="23"/>
      <c r="B5" s="39">
        <v>45951.0</v>
      </c>
      <c r="C5" s="12" t="s">
        <v>99</v>
      </c>
      <c r="D5" s="87" t="s">
        <v>133</v>
      </c>
      <c r="E5" s="40" t="s">
        <v>36</v>
      </c>
      <c r="F5" s="14"/>
      <c r="G5" s="75" t="s">
        <v>24</v>
      </c>
      <c r="H5" s="14"/>
      <c r="I5" s="40" t="s">
        <v>59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36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56"/>
      <c r="Z5" s="56"/>
      <c r="AA5" s="20" t="s">
        <v>38</v>
      </c>
      <c r="AB5" s="63" t="s">
        <v>36</v>
      </c>
      <c r="AC5" s="21">
        <v>0.0</v>
      </c>
      <c r="AD5" s="21">
        <v>0.0</v>
      </c>
      <c r="AE5" s="21">
        <v>0.0</v>
      </c>
      <c r="AF5" s="22">
        <v>0.0</v>
      </c>
      <c r="AG5" s="21">
        <v>0.0</v>
      </c>
      <c r="AH5" s="22">
        <v>0.0</v>
      </c>
      <c r="AI5" s="21">
        <v>0.0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 ht="15.75" customHeight="1">
      <c r="A6" s="23"/>
      <c r="B6" s="39">
        <v>45951.0</v>
      </c>
      <c r="C6" s="12" t="s">
        <v>99</v>
      </c>
      <c r="D6" s="87" t="s">
        <v>133</v>
      </c>
      <c r="E6" s="40" t="s">
        <v>33</v>
      </c>
      <c r="F6" s="75"/>
      <c r="G6" s="75" t="s">
        <v>24</v>
      </c>
      <c r="H6" s="75"/>
      <c r="I6" s="40" t="s">
        <v>45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33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48" t="s">
        <v>41</v>
      </c>
      <c r="AB6" s="63" t="s">
        <v>33</v>
      </c>
      <c r="AC6" s="21">
        <v>0.0</v>
      </c>
      <c r="AD6" s="21">
        <v>0.0</v>
      </c>
      <c r="AE6" s="21">
        <v>0.0</v>
      </c>
      <c r="AF6" s="22">
        <v>0.0</v>
      </c>
      <c r="AG6" s="21">
        <v>0.0</v>
      </c>
      <c r="AH6" s="22">
        <v>0.0</v>
      </c>
      <c r="AI6" s="21">
        <v>0.0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 ht="15.75" customHeight="1">
      <c r="A7" s="23"/>
      <c r="B7" s="39">
        <v>45951.0</v>
      </c>
      <c r="C7" s="12" t="s">
        <v>100</v>
      </c>
      <c r="D7" s="87" t="s">
        <v>133</v>
      </c>
      <c r="E7" s="40" t="s">
        <v>65</v>
      </c>
      <c r="F7" s="26"/>
      <c r="G7" s="75" t="s">
        <v>24</v>
      </c>
      <c r="H7" s="26"/>
      <c r="I7" s="40" t="s">
        <v>60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57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48" t="s">
        <v>44</v>
      </c>
      <c r="AB7" s="63" t="s">
        <v>57</v>
      </c>
      <c r="AC7" s="21">
        <v>0.0</v>
      </c>
      <c r="AD7" s="21">
        <v>0.0</v>
      </c>
      <c r="AE7" s="21">
        <v>0.0</v>
      </c>
      <c r="AF7" s="22">
        <v>0.0</v>
      </c>
      <c r="AG7" s="21">
        <v>0.0</v>
      </c>
      <c r="AH7" s="22">
        <v>0.0</v>
      </c>
      <c r="AI7" s="21">
        <v>0.0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 ht="15.75" customHeight="1">
      <c r="A8" s="23"/>
      <c r="B8" s="39">
        <v>45951.0</v>
      </c>
      <c r="C8" s="12" t="s">
        <v>100</v>
      </c>
      <c r="D8" s="87" t="s">
        <v>133</v>
      </c>
      <c r="E8" s="40" t="s">
        <v>39</v>
      </c>
      <c r="F8" s="75"/>
      <c r="G8" s="75" t="s">
        <v>24</v>
      </c>
      <c r="H8" s="75"/>
      <c r="I8" s="40" t="s">
        <v>116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134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48" t="s">
        <v>47</v>
      </c>
      <c r="AB8" s="63" t="s">
        <v>134</v>
      </c>
      <c r="AC8" s="21">
        <v>0.0</v>
      </c>
      <c r="AD8" s="21">
        <v>0.0</v>
      </c>
      <c r="AE8" s="21">
        <v>0.0</v>
      </c>
      <c r="AF8" s="22">
        <v>0.0</v>
      </c>
      <c r="AG8" s="21">
        <v>0.0</v>
      </c>
      <c r="AH8" s="22">
        <v>0.0</v>
      </c>
      <c r="AI8" s="21">
        <v>0.0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 ht="15.75" customHeight="1">
      <c r="A9" s="23"/>
      <c r="B9" s="39">
        <v>45951.0</v>
      </c>
      <c r="C9" s="12" t="s">
        <v>101</v>
      </c>
      <c r="D9" s="87" t="s">
        <v>133</v>
      </c>
      <c r="E9" s="40" t="s">
        <v>64</v>
      </c>
      <c r="F9" s="75"/>
      <c r="G9" s="75" t="s">
        <v>24</v>
      </c>
      <c r="H9" s="75"/>
      <c r="I9" s="40" t="s">
        <v>31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59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56"/>
      <c r="Z9" s="56"/>
      <c r="AA9" s="48" t="s">
        <v>48</v>
      </c>
      <c r="AB9" s="63" t="s">
        <v>59</v>
      </c>
      <c r="AC9" s="21">
        <v>0.0</v>
      </c>
      <c r="AD9" s="21">
        <v>0.0</v>
      </c>
      <c r="AE9" s="21">
        <v>0.0</v>
      </c>
      <c r="AF9" s="22">
        <v>0.0</v>
      </c>
      <c r="AG9" s="21">
        <v>0.0</v>
      </c>
      <c r="AH9" s="22">
        <v>0.0</v>
      </c>
      <c r="AI9" s="21">
        <v>0.0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 ht="15.75" customHeight="1">
      <c r="A10" s="58">
        <v>2.0</v>
      </c>
      <c r="B10" s="39">
        <v>45951.0</v>
      </c>
      <c r="C10" s="12" t="s">
        <v>101</v>
      </c>
      <c r="D10" s="87" t="s">
        <v>133</v>
      </c>
      <c r="E10" s="40" t="s">
        <v>25</v>
      </c>
      <c r="F10" s="75"/>
      <c r="G10" s="75" t="s">
        <v>24</v>
      </c>
      <c r="H10" s="75"/>
      <c r="I10" s="40" t="s">
        <v>45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45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56"/>
      <c r="Z10" s="56"/>
      <c r="AA10" s="48" t="s">
        <v>135</v>
      </c>
      <c r="AB10" s="63" t="s">
        <v>45</v>
      </c>
      <c r="AC10" s="21">
        <v>0.0</v>
      </c>
      <c r="AD10" s="21">
        <v>0.0</v>
      </c>
      <c r="AE10" s="21">
        <v>0.0</v>
      </c>
      <c r="AF10" s="22">
        <v>0.0</v>
      </c>
      <c r="AG10" s="21">
        <v>0.0</v>
      </c>
      <c r="AH10" s="22">
        <v>0.0</v>
      </c>
      <c r="AI10" s="21">
        <v>0.0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 ht="15.75" customHeight="1">
      <c r="A11" s="23"/>
      <c r="B11" s="39">
        <v>45951.0</v>
      </c>
      <c r="C11" s="12" t="s">
        <v>102</v>
      </c>
      <c r="D11" s="87" t="s">
        <v>133</v>
      </c>
      <c r="E11" s="40" t="s">
        <v>23</v>
      </c>
      <c r="F11" s="75"/>
      <c r="G11" s="75" t="s">
        <v>24</v>
      </c>
      <c r="H11" s="75"/>
      <c r="I11" s="40" t="s">
        <v>59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65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56"/>
      <c r="Z11" s="56"/>
      <c r="AA11" s="20">
        <v>9.0</v>
      </c>
      <c r="AB11" s="63" t="s">
        <v>65</v>
      </c>
      <c r="AC11" s="21">
        <v>0.0</v>
      </c>
      <c r="AD11" s="21">
        <v>0.0</v>
      </c>
      <c r="AE11" s="21">
        <v>0.0</v>
      </c>
      <c r="AF11" s="22">
        <v>0.0</v>
      </c>
      <c r="AG11" s="21">
        <v>0.0</v>
      </c>
      <c r="AH11" s="22">
        <v>0.0</v>
      </c>
      <c r="AI11" s="21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39">
        <v>45951.0</v>
      </c>
      <c r="C12" s="12" t="s">
        <v>102</v>
      </c>
      <c r="D12" s="87" t="s">
        <v>133</v>
      </c>
      <c r="E12" s="40" t="s">
        <v>36</v>
      </c>
      <c r="F12" s="75"/>
      <c r="G12" s="75" t="s">
        <v>24</v>
      </c>
      <c r="H12" s="75"/>
      <c r="I12" s="40" t="s">
        <v>134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60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56"/>
      <c r="Z12" s="56"/>
      <c r="AA12" s="20">
        <v>10.0</v>
      </c>
      <c r="AB12" s="63" t="s">
        <v>60</v>
      </c>
      <c r="AC12" s="21">
        <v>0.0</v>
      </c>
      <c r="AD12" s="21">
        <v>0.0</v>
      </c>
      <c r="AE12" s="21">
        <v>0.0</v>
      </c>
      <c r="AF12" s="22">
        <v>0.0</v>
      </c>
      <c r="AG12" s="21">
        <v>0.0</v>
      </c>
      <c r="AH12" s="22">
        <v>0.0</v>
      </c>
      <c r="AI12" s="21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39">
        <v>45951.0</v>
      </c>
      <c r="C13" s="12" t="s">
        <v>104</v>
      </c>
      <c r="D13" s="87" t="s">
        <v>133</v>
      </c>
      <c r="E13" s="40" t="s">
        <v>33</v>
      </c>
      <c r="F13" s="75"/>
      <c r="G13" s="75" t="s">
        <v>24</v>
      </c>
      <c r="H13" s="75"/>
      <c r="I13" s="40" t="s">
        <v>57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39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20">
        <v>11.0</v>
      </c>
      <c r="AB13" s="63" t="s">
        <v>39</v>
      </c>
      <c r="AC13" s="21">
        <v>0.0</v>
      </c>
      <c r="AD13" s="21">
        <v>0.0</v>
      </c>
      <c r="AE13" s="21">
        <v>0.0</v>
      </c>
      <c r="AF13" s="22">
        <v>0.0</v>
      </c>
      <c r="AG13" s="21">
        <v>0.0</v>
      </c>
      <c r="AH13" s="22">
        <v>0.0</v>
      </c>
      <c r="AI13" s="21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3"/>
      <c r="B14" s="39">
        <v>45951.0</v>
      </c>
      <c r="C14" s="12" t="s">
        <v>104</v>
      </c>
      <c r="D14" s="87" t="s">
        <v>133</v>
      </c>
      <c r="E14" s="40" t="s">
        <v>136</v>
      </c>
      <c r="F14" s="26"/>
      <c r="G14" s="75" t="s">
        <v>24</v>
      </c>
      <c r="H14" s="26"/>
      <c r="I14" s="40" t="s">
        <v>31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116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20">
        <v>12.0</v>
      </c>
      <c r="AB14" s="63" t="s">
        <v>116</v>
      </c>
      <c r="AC14" s="21">
        <v>0.0</v>
      </c>
      <c r="AD14" s="21">
        <v>0.0</v>
      </c>
      <c r="AE14" s="21">
        <v>0.0</v>
      </c>
      <c r="AF14" s="22">
        <v>0.0</v>
      </c>
      <c r="AG14" s="21">
        <v>0.0</v>
      </c>
      <c r="AH14" s="22">
        <v>0.0</v>
      </c>
      <c r="AI14" s="21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3"/>
      <c r="B15" s="39">
        <v>45951.0</v>
      </c>
      <c r="C15" s="12" t="s">
        <v>105</v>
      </c>
      <c r="D15" s="87" t="s">
        <v>133</v>
      </c>
      <c r="E15" s="40" t="s">
        <v>39</v>
      </c>
      <c r="F15" s="75"/>
      <c r="G15" s="75" t="s">
        <v>24</v>
      </c>
      <c r="H15" s="75"/>
      <c r="I15" s="40" t="s">
        <v>64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64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56"/>
      <c r="Z15" s="56"/>
      <c r="AA15" s="20">
        <v>13.0</v>
      </c>
      <c r="AB15" s="63" t="s">
        <v>64</v>
      </c>
      <c r="AC15" s="21">
        <v>0.0</v>
      </c>
      <c r="AD15" s="21">
        <v>0.0</v>
      </c>
      <c r="AE15" s="21">
        <v>0.0</v>
      </c>
      <c r="AF15" s="22">
        <v>0.0</v>
      </c>
      <c r="AG15" s="21">
        <v>0.0</v>
      </c>
      <c r="AH15" s="22">
        <v>0.0</v>
      </c>
      <c r="AI15" s="21">
        <v>0.0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3"/>
      <c r="B16" s="39">
        <v>45951.0</v>
      </c>
      <c r="C16" s="12" t="s">
        <v>105</v>
      </c>
      <c r="D16" s="87" t="s">
        <v>133</v>
      </c>
      <c r="E16" s="40" t="s">
        <v>60</v>
      </c>
      <c r="F16" s="75"/>
      <c r="G16" s="75" t="s">
        <v>24</v>
      </c>
      <c r="H16" s="75"/>
      <c r="I16" s="40" t="s">
        <v>116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31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56"/>
      <c r="Z16" s="56"/>
      <c r="AA16" s="20">
        <v>14.0</v>
      </c>
      <c r="AB16" s="63" t="s">
        <v>31</v>
      </c>
      <c r="AC16" s="21">
        <v>0.0</v>
      </c>
      <c r="AD16" s="21">
        <v>0.0</v>
      </c>
      <c r="AE16" s="21">
        <v>0.0</v>
      </c>
      <c r="AF16" s="22">
        <v>0.0</v>
      </c>
      <c r="AG16" s="21">
        <v>0.0</v>
      </c>
      <c r="AH16" s="22">
        <v>0.0</v>
      </c>
      <c r="AI16" s="21">
        <v>0.0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3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3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3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3"/>
      <c r="B21" s="79"/>
      <c r="C21" s="75"/>
      <c r="D21" s="75"/>
      <c r="E21" s="40" t="s">
        <v>60</v>
      </c>
      <c r="F21" s="26"/>
      <c r="G21" s="75" t="s">
        <v>24</v>
      </c>
      <c r="H21" s="26"/>
      <c r="I21" s="40" t="s">
        <v>64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3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39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79"/>
      <c r="C23" s="75"/>
      <c r="D23" s="75"/>
      <c r="E23" s="40" t="s">
        <v>116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3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3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79"/>
      <c r="C28" s="75"/>
      <c r="D28" s="75"/>
      <c r="E28" s="40" t="s">
        <v>59</v>
      </c>
      <c r="F28" s="26"/>
      <c r="G28" s="75" t="s">
        <v>24</v>
      </c>
      <c r="H28" s="26"/>
      <c r="I28" s="40" t="s">
        <v>60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39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3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3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39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79"/>
      <c r="C35" s="75"/>
      <c r="D35" s="75"/>
      <c r="E35" s="40" t="s">
        <v>57</v>
      </c>
      <c r="F35" s="26"/>
      <c r="G35" s="75" t="s">
        <v>24</v>
      </c>
      <c r="H35" s="26"/>
      <c r="I35" s="40" t="s">
        <v>60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116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3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116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39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79"/>
      <c r="C42" s="75"/>
      <c r="D42" s="75"/>
      <c r="E42" s="40" t="s">
        <v>57</v>
      </c>
      <c r="F42" s="26"/>
      <c r="G42" s="75" t="s">
        <v>24</v>
      </c>
      <c r="H42" s="26"/>
      <c r="I42" s="40" t="s">
        <v>134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3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116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79"/>
      <c r="C49" s="75"/>
      <c r="D49" s="75"/>
      <c r="E49" s="40" t="s">
        <v>57</v>
      </c>
      <c r="F49" s="26"/>
      <c r="G49" s="75" t="s">
        <v>24</v>
      </c>
      <c r="H49" s="26"/>
      <c r="I49" s="40" t="s">
        <v>45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3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39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5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3"/>
      <c r="B59" s="39"/>
      <c r="C59" s="12"/>
      <c r="D59" s="12"/>
      <c r="E59" s="40" t="s">
        <v>71</v>
      </c>
      <c r="F59" s="30"/>
      <c r="G59" s="15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3"/>
      <c r="B60" s="39"/>
      <c r="C60" s="12"/>
      <c r="D60" s="12"/>
      <c r="E60" s="40" t="s">
        <v>73</v>
      </c>
      <c r="F60" s="30"/>
      <c r="G60" s="15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5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5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3"/>
      <c r="B63" s="42"/>
      <c r="C63" s="30"/>
      <c r="D63" s="12"/>
      <c r="E63" s="43" t="s">
        <v>80</v>
      </c>
      <c r="F63" s="13"/>
      <c r="G63" s="15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5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5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89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75"/>
      <c r="G3" s="75" t="s">
        <v>24</v>
      </c>
      <c r="H3" s="75"/>
      <c r="I3" s="14" t="s">
        <v>33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36</v>
      </c>
      <c r="P3" s="16">
        <f t="shared" ref="P3:P14" si="3">SUMIF(E$3:E$68,O3,K$3:K$68)+SUMIF(I$3:I$68,O3,L$3:L$68)</f>
        <v>0</v>
      </c>
      <c r="Q3" s="16">
        <f t="shared" ref="Q3:Q14" si="4">COUNTIFS(E$3:E$68,O3,K$3:K$68,3)+COUNTIFS(I$3:I$68,O3,L$3:L$68,3)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56"/>
      <c r="X3" s="56"/>
      <c r="Y3" s="62" t="s">
        <v>26</v>
      </c>
      <c r="Z3" s="62" t="s">
        <v>13</v>
      </c>
      <c r="AA3" s="91"/>
      <c r="AB3" s="91"/>
      <c r="AC3" s="91"/>
      <c r="AD3" s="56"/>
      <c r="AE3" s="20" t="s">
        <v>29</v>
      </c>
      <c r="AF3" s="21" t="str">
        <f t="array" ref="AF3:AN14">SORT(O3:W14,2,FALSE,9,FALSE,8,FALSE())</f>
        <v>EET</v>
      </c>
      <c r="AG3" s="21">
        <v>0.0</v>
      </c>
      <c r="AH3" s="21">
        <v>0.0</v>
      </c>
      <c r="AI3" s="21">
        <v>0.0</v>
      </c>
      <c r="AJ3" s="21">
        <v>0.0</v>
      </c>
      <c r="AK3" s="21">
        <v>0.0</v>
      </c>
      <c r="AL3" s="21">
        <v>0.0</v>
      </c>
      <c r="AM3" s="21">
        <v>0.0</v>
      </c>
      <c r="AN3" s="16"/>
    </row>
    <row r="4" ht="15.75" customHeight="1">
      <c r="A4" s="23"/>
      <c r="B4" s="11">
        <v>45945.0</v>
      </c>
      <c r="C4" s="12" t="s">
        <v>142</v>
      </c>
      <c r="D4" s="12" t="s">
        <v>22</v>
      </c>
      <c r="E4" s="14" t="s">
        <v>23</v>
      </c>
      <c r="F4" s="75"/>
      <c r="G4" s="75" t="s">
        <v>24</v>
      </c>
      <c r="H4" s="75"/>
      <c r="I4" s="14" t="s">
        <v>113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143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6" t="s">
        <v>61</v>
      </c>
      <c r="Z4" s="26">
        <v>3.0</v>
      </c>
      <c r="AA4" s="82"/>
      <c r="AB4" s="82"/>
      <c r="AC4" s="82"/>
      <c r="AD4" s="56"/>
      <c r="AE4" s="20" t="s">
        <v>34</v>
      </c>
      <c r="AF4" s="21" t="s">
        <v>143</v>
      </c>
      <c r="AG4" s="21">
        <v>0.0</v>
      </c>
      <c r="AH4" s="21">
        <v>0.0</v>
      </c>
      <c r="AI4" s="21">
        <v>0.0</v>
      </c>
      <c r="AJ4" s="21">
        <v>0.0</v>
      </c>
      <c r="AK4" s="21">
        <v>0.0</v>
      </c>
      <c r="AL4" s="21">
        <v>0.0</v>
      </c>
      <c r="AM4" s="21">
        <v>0.0</v>
      </c>
      <c r="AN4" s="16"/>
    </row>
    <row r="5" ht="15.75" customHeight="1">
      <c r="A5" s="23"/>
      <c r="B5" s="11">
        <v>45945.0</v>
      </c>
      <c r="C5" s="12" t="s">
        <v>92</v>
      </c>
      <c r="D5" s="12" t="s">
        <v>22</v>
      </c>
      <c r="E5" s="14" t="s">
        <v>144</v>
      </c>
      <c r="F5" s="75"/>
      <c r="G5" s="75" t="s">
        <v>24</v>
      </c>
      <c r="H5" s="75"/>
      <c r="I5" s="14" t="s">
        <v>145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33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6" t="s">
        <v>36</v>
      </c>
      <c r="Z5" s="26">
        <v>0.0</v>
      </c>
      <c r="AA5" s="82"/>
      <c r="AB5" s="82"/>
      <c r="AC5" s="82"/>
      <c r="AD5" s="56"/>
      <c r="AE5" s="20" t="s">
        <v>38</v>
      </c>
      <c r="AF5" s="21" t="s">
        <v>33</v>
      </c>
      <c r="AG5" s="21">
        <v>0.0</v>
      </c>
      <c r="AH5" s="21">
        <v>0.0</v>
      </c>
      <c r="AI5" s="21">
        <v>0.0</v>
      </c>
      <c r="AJ5" s="21">
        <v>0.0</v>
      </c>
      <c r="AK5" s="21">
        <v>0.0</v>
      </c>
      <c r="AL5" s="21">
        <v>0.0</v>
      </c>
      <c r="AM5" s="21">
        <v>0.0</v>
      </c>
      <c r="AN5" s="16"/>
    </row>
    <row r="6" ht="15.75" customHeight="1">
      <c r="A6" s="23"/>
      <c r="B6" s="11">
        <v>45945.0</v>
      </c>
      <c r="C6" s="12" t="s">
        <v>96</v>
      </c>
      <c r="D6" s="12" t="s">
        <v>22</v>
      </c>
      <c r="E6" s="14" t="s">
        <v>25</v>
      </c>
      <c r="F6" s="75"/>
      <c r="G6" s="75" t="s">
        <v>24</v>
      </c>
      <c r="H6" s="75"/>
      <c r="I6" s="14" t="s">
        <v>61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45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56"/>
      <c r="AB6" s="56"/>
      <c r="AC6" s="56"/>
      <c r="AD6" s="56"/>
      <c r="AE6" s="20" t="s">
        <v>41</v>
      </c>
      <c r="AF6" s="21" t="s">
        <v>45</v>
      </c>
      <c r="AG6" s="21">
        <v>0.0</v>
      </c>
      <c r="AH6" s="21">
        <v>0.0</v>
      </c>
      <c r="AI6" s="21">
        <v>0.0</v>
      </c>
      <c r="AJ6" s="21">
        <v>0.0</v>
      </c>
      <c r="AK6" s="21">
        <v>0.0</v>
      </c>
      <c r="AL6" s="21">
        <v>0.0</v>
      </c>
      <c r="AM6" s="21">
        <v>0.0</v>
      </c>
      <c r="AN6" s="16"/>
    </row>
    <row r="7" ht="15.75" customHeight="1">
      <c r="A7" s="23"/>
      <c r="B7" s="11">
        <v>45945.0</v>
      </c>
      <c r="C7" s="12" t="s">
        <v>100</v>
      </c>
      <c r="D7" s="12" t="s">
        <v>22</v>
      </c>
      <c r="E7" s="14" t="s">
        <v>45</v>
      </c>
      <c r="F7" s="75"/>
      <c r="G7" s="75" t="s">
        <v>24</v>
      </c>
      <c r="H7" s="75"/>
      <c r="I7" s="14" t="s">
        <v>111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113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56"/>
      <c r="AB7" s="56"/>
      <c r="AC7" s="56"/>
      <c r="AD7" s="56"/>
      <c r="AE7" s="20" t="s">
        <v>44</v>
      </c>
      <c r="AF7" s="21" t="s">
        <v>113</v>
      </c>
      <c r="AG7" s="21">
        <v>0.0</v>
      </c>
      <c r="AH7" s="21">
        <v>0.0</v>
      </c>
      <c r="AI7" s="21">
        <v>0.0</v>
      </c>
      <c r="AJ7" s="21">
        <v>0.0</v>
      </c>
      <c r="AK7" s="21">
        <v>0.0</v>
      </c>
      <c r="AL7" s="21">
        <v>0.0</v>
      </c>
      <c r="AM7" s="21">
        <v>0.0</v>
      </c>
      <c r="AN7" s="16"/>
    </row>
    <row r="8" ht="15.75" customHeight="1">
      <c r="A8" s="28"/>
      <c r="B8" s="11">
        <v>45945.0</v>
      </c>
      <c r="C8" s="12" t="s">
        <v>104</v>
      </c>
      <c r="D8" s="12" t="s">
        <v>22</v>
      </c>
      <c r="E8" s="40" t="s">
        <v>146</v>
      </c>
      <c r="F8" s="75"/>
      <c r="G8" s="75" t="s">
        <v>24</v>
      </c>
      <c r="H8" s="75"/>
      <c r="I8" s="40" t="s">
        <v>143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1" t="s">
        <v>25</v>
      </c>
      <c r="AG8" s="21">
        <v>0.0</v>
      </c>
      <c r="AH8" s="21">
        <v>0.0</v>
      </c>
      <c r="AI8" s="21">
        <v>0.0</v>
      </c>
      <c r="AJ8" s="21">
        <v>0.0</v>
      </c>
      <c r="AK8" s="21">
        <v>0.0</v>
      </c>
      <c r="AL8" s="21">
        <v>0.0</v>
      </c>
      <c r="AM8" s="21">
        <v>0.0</v>
      </c>
      <c r="AN8" s="16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75"/>
      <c r="G9" s="75" t="s">
        <v>24</v>
      </c>
      <c r="H9" s="75"/>
      <c r="I9" s="14" t="s">
        <v>146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145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6" t="s">
        <v>20</v>
      </c>
      <c r="Z9" s="7"/>
      <c r="AA9" s="7"/>
      <c r="AB9" s="7"/>
      <c r="AC9" s="8"/>
      <c r="AD9" s="56"/>
      <c r="AE9" s="20">
        <v>7.0</v>
      </c>
      <c r="AF9" s="21" t="s">
        <v>145</v>
      </c>
      <c r="AG9" s="21">
        <v>0.0</v>
      </c>
      <c r="AH9" s="21">
        <v>0.0</v>
      </c>
      <c r="AI9" s="21">
        <v>0.0</v>
      </c>
      <c r="AJ9" s="21">
        <v>0.0</v>
      </c>
      <c r="AK9" s="21">
        <v>0.0</v>
      </c>
      <c r="AL9" s="21">
        <v>0.0</v>
      </c>
      <c r="AM9" s="21">
        <v>0.0</v>
      </c>
      <c r="AN9" s="16"/>
    </row>
    <row r="10" ht="15.75" customHeight="1">
      <c r="A10" s="23"/>
      <c r="B10" s="11">
        <v>45959.0</v>
      </c>
      <c r="C10" s="12" t="s">
        <v>148</v>
      </c>
      <c r="D10" s="12" t="s">
        <v>133</v>
      </c>
      <c r="E10" s="14" t="s">
        <v>113</v>
      </c>
      <c r="F10" s="75"/>
      <c r="G10" s="75" t="s">
        <v>24</v>
      </c>
      <c r="H10" s="75"/>
      <c r="I10" s="14" t="s">
        <v>36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144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0">
        <v>8.0</v>
      </c>
      <c r="AF10" s="21" t="s">
        <v>144</v>
      </c>
      <c r="AG10" s="21">
        <v>0.0</v>
      </c>
      <c r="AH10" s="21">
        <v>0.0</v>
      </c>
      <c r="AI10" s="21">
        <v>0.0</v>
      </c>
      <c r="AJ10" s="21">
        <v>0.0</v>
      </c>
      <c r="AK10" s="21">
        <v>0.0</v>
      </c>
      <c r="AL10" s="21">
        <v>0.0</v>
      </c>
      <c r="AM10" s="21">
        <v>0.0</v>
      </c>
      <c r="AN10" s="16"/>
    </row>
    <row r="11" ht="15.75" customHeight="1">
      <c r="A11" s="23"/>
      <c r="B11" s="11">
        <v>45959.0</v>
      </c>
      <c r="C11" s="12" t="s">
        <v>149</v>
      </c>
      <c r="D11" s="12" t="s">
        <v>133</v>
      </c>
      <c r="E11" s="14" t="s">
        <v>145</v>
      </c>
      <c r="F11" s="75"/>
      <c r="G11" s="75" t="s">
        <v>24</v>
      </c>
      <c r="H11" s="75"/>
      <c r="I11" s="14" t="s">
        <v>23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61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65" t="s">
        <v>23</v>
      </c>
      <c r="Z11" s="65">
        <v>1.0</v>
      </c>
      <c r="AA11" s="26">
        <v>37.0</v>
      </c>
      <c r="AB11" s="26">
        <v>28.0</v>
      </c>
      <c r="AC11" s="26">
        <f t="shared" ref="AC11:AC12" si="10">AA11-AB11</f>
        <v>9</v>
      </c>
      <c r="AD11" s="56"/>
      <c r="AE11" s="66" t="s">
        <v>103</v>
      </c>
      <c r="AF11" s="21" t="s">
        <v>61</v>
      </c>
      <c r="AG11" s="21">
        <v>0.0</v>
      </c>
      <c r="AH11" s="21">
        <v>0.0</v>
      </c>
      <c r="AI11" s="21">
        <v>0.0</v>
      </c>
      <c r="AJ11" s="21">
        <v>0.0</v>
      </c>
      <c r="AK11" s="21">
        <v>0.0</v>
      </c>
      <c r="AL11" s="21">
        <v>0.0</v>
      </c>
      <c r="AM11" s="21">
        <v>0.0</v>
      </c>
      <c r="AN11" s="16"/>
    </row>
    <row r="12" ht="15.75" customHeight="1">
      <c r="A12" s="23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144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23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6" t="s">
        <v>150</v>
      </c>
      <c r="Z12" s="26">
        <v>1.0</v>
      </c>
      <c r="AA12" s="26">
        <v>38.0</v>
      </c>
      <c r="AB12" s="26">
        <v>32.0</v>
      </c>
      <c r="AC12" s="26">
        <f t="shared" si="10"/>
        <v>6</v>
      </c>
      <c r="AD12" s="56"/>
      <c r="AE12" s="69">
        <v>10.0</v>
      </c>
      <c r="AF12" s="21" t="s">
        <v>23</v>
      </c>
      <c r="AG12" s="21">
        <v>0.0</v>
      </c>
      <c r="AH12" s="21">
        <v>0.0</v>
      </c>
      <c r="AI12" s="21">
        <v>0.0</v>
      </c>
      <c r="AJ12" s="21">
        <v>0.0</v>
      </c>
      <c r="AK12" s="21">
        <v>0.0</v>
      </c>
      <c r="AL12" s="21">
        <v>0.0</v>
      </c>
      <c r="AM12" s="21">
        <v>0.0</v>
      </c>
      <c r="AN12" s="16"/>
    </row>
    <row r="13" ht="15.75" customHeight="1">
      <c r="A13" s="23"/>
      <c r="B13" s="11">
        <v>45960.0</v>
      </c>
      <c r="C13" s="12" t="s">
        <v>21</v>
      </c>
      <c r="D13" s="12" t="s">
        <v>22</v>
      </c>
      <c r="E13" s="14" t="s">
        <v>111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16">
        <v>11.0</v>
      </c>
      <c r="O13" s="90" t="s">
        <v>111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56"/>
      <c r="AE13" s="92">
        <v>11.0</v>
      </c>
      <c r="AF13" s="45" t="s">
        <v>111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21">
        <v>0.0</v>
      </c>
      <c r="AN13" s="16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6" t="str">
        <f t="shared" si="2"/>
        <v/>
      </c>
      <c r="M14" s="4"/>
      <c r="N14" s="16">
        <v>12.0</v>
      </c>
      <c r="O14" s="90" t="s">
        <v>146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56"/>
      <c r="AE14" s="92">
        <v>12.0</v>
      </c>
      <c r="AF14" s="75" t="s">
        <v>146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21">
        <v>0.0</v>
      </c>
      <c r="AN14" s="16"/>
    </row>
    <row r="15" ht="15.75" customHeight="1">
      <c r="A15" s="10">
        <v>3.0</v>
      </c>
      <c r="B15" s="93"/>
      <c r="C15" s="75"/>
      <c r="D15" s="75"/>
      <c r="E15" s="14" t="s">
        <v>33</v>
      </c>
      <c r="F15" s="75"/>
      <c r="G15" s="75" t="s">
        <v>24</v>
      </c>
      <c r="H15" s="75"/>
      <c r="I15" s="14" t="s">
        <v>113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3"/>
      <c r="B16" s="93"/>
      <c r="C16" s="75"/>
      <c r="D16" s="75"/>
      <c r="E16" s="14" t="s">
        <v>36</v>
      </c>
      <c r="F16" s="75"/>
      <c r="G16" s="75" t="s">
        <v>24</v>
      </c>
      <c r="H16" s="75"/>
      <c r="I16" s="14" t="s">
        <v>145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3"/>
      <c r="B17" s="93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3"/>
      <c r="B18" s="93"/>
      <c r="C18" s="75"/>
      <c r="D18" s="75"/>
      <c r="E18" s="14" t="s">
        <v>144</v>
      </c>
      <c r="F18" s="75"/>
      <c r="G18" s="75" t="s">
        <v>24</v>
      </c>
      <c r="H18" s="75"/>
      <c r="I18" s="14" t="s">
        <v>111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3"/>
      <c r="B19" s="93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3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113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3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3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3"/>
      <c r="B24" s="94"/>
      <c r="C24" s="60"/>
      <c r="D24" s="75"/>
      <c r="E24" s="14" t="s">
        <v>111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3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113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3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3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111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3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3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3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113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3"/>
      <c r="B35" s="94"/>
      <c r="C35" s="75"/>
      <c r="D35" s="75"/>
      <c r="E35" s="14" t="s">
        <v>111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3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3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3"/>
      <c r="B40" s="94"/>
      <c r="C40" s="75"/>
      <c r="D40" s="75"/>
      <c r="E40" s="14" t="s">
        <v>113</v>
      </c>
      <c r="F40" s="75"/>
      <c r="G40" s="75" t="s">
        <v>24</v>
      </c>
      <c r="H40" s="75"/>
      <c r="I40" s="14" t="s">
        <v>111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3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3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3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3"/>
      <c r="B46" s="94"/>
      <c r="C46" s="75"/>
      <c r="D46" s="75"/>
      <c r="E46" s="14" t="s">
        <v>111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3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113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3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3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111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3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3"/>
      <c r="B53" s="94"/>
      <c r="C53" s="75"/>
      <c r="D53" s="75"/>
      <c r="E53" s="14" t="s">
        <v>113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3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3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111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3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3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3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3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111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6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3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6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3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6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3"/>
      <c r="B66" s="94"/>
      <c r="C66" s="75"/>
      <c r="D66" s="75"/>
      <c r="E66" s="14" t="s">
        <v>113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6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3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6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6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89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100</v>
      </c>
      <c r="D75" s="59" t="s">
        <v>133</v>
      </c>
      <c r="E75" s="40" t="s">
        <v>112</v>
      </c>
      <c r="F75" s="60"/>
      <c r="G75" s="75" t="s">
        <v>24</v>
      </c>
      <c r="H75" s="60"/>
      <c r="I75" s="40" t="s">
        <v>116</v>
      </c>
      <c r="J75" s="4"/>
      <c r="K75" s="4" t="str">
        <f t="shared" ref="K75:K119" si="11">IF(F75="","",IFS(F75&gt;H75,3,F75=H75,1,H75&gt;F75,0,F75="",0))</f>
        <v/>
      </c>
      <c r="L75" s="16" t="str">
        <f t="shared" ref="L75:L119" si="12">IF(H75="","",IFS(F75&lt;H75,3,F75=H75,1,H75&lt;F75,0))</f>
        <v/>
      </c>
      <c r="M75" s="4"/>
      <c r="N75" s="16">
        <v>1.0</v>
      </c>
      <c r="O75" s="88" t="s">
        <v>116</v>
      </c>
      <c r="P75" s="16">
        <f t="shared" ref="P75:P83" si="13">SUMIF(E$75:E$119,O75,K$75:K$119)+SUMIF(I$75:I$119,O75,L$75:L$119)</f>
        <v>0</v>
      </c>
      <c r="Q75" s="16">
        <f t="shared" ref="Q75:Q83" si="14">COUNTIFS(E$75:E$119,O75,K$75:K$119,3)+COUNTIFS(I$75:I$119,O75,L$75:L$119,3)</f>
        <v>0</v>
      </c>
      <c r="R75" s="18">
        <f t="shared" ref="R75:R83" si="15">COUNTIFS(E$75:E$119,O75,K$75:K$119,1)+COUNTIFS(I$75:I$119,O75,L$75:L$119,1)</f>
        <v>0</v>
      </c>
      <c r="S75" s="18">
        <f t="shared" ref="S75:S83" si="16">COUNTIFS(E$75:E$119,O75,K$75:K$119,0)+COUNTIFS(I$75:I$119,O75,L$75:L$119,0)</f>
        <v>0</v>
      </c>
      <c r="T75" s="16">
        <f t="shared" ref="T75:T83" si="17">SUMIF(E$75:E$119,O75,F$75:F$119)+SUMIF(I$75:I$119,O75,H$75:H$119)</f>
        <v>0</v>
      </c>
      <c r="U75" s="18">
        <f t="shared" ref="U75:U83" si="18">SUMIF(E$75:E$119,O75,H$75:H$119)+SUMIF(I$75:I$119,O75,F$75:F$119)</f>
        <v>0</v>
      </c>
      <c r="V75" s="16">
        <f t="shared" ref="V75:V83" si="19">T75-U75</f>
        <v>0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1" t="str">
        <f t="array" ref="AF75:AN83">SORT(O75:W83,2,FALSE,9,FALSE,8,FALSE())</f>
        <v>Design</v>
      </c>
      <c r="AG75" s="21">
        <v>0.0</v>
      </c>
      <c r="AH75" s="21">
        <v>0.0</v>
      </c>
      <c r="AI75" s="21">
        <v>0.0</v>
      </c>
      <c r="AJ75" s="21">
        <v>0.0</v>
      </c>
      <c r="AK75" s="21">
        <v>0.0</v>
      </c>
      <c r="AL75" s="21">
        <v>0.0</v>
      </c>
      <c r="AM75" s="21">
        <v>0.0</v>
      </c>
      <c r="AN75" s="16"/>
    </row>
    <row r="76" ht="15.75" customHeight="1">
      <c r="A76" s="23"/>
      <c r="B76" s="11">
        <v>45943.0</v>
      </c>
      <c r="C76" s="12" t="s">
        <v>104</v>
      </c>
      <c r="D76" s="59" t="s">
        <v>133</v>
      </c>
      <c r="E76" s="40" t="s">
        <v>63</v>
      </c>
      <c r="F76" s="60"/>
      <c r="G76" s="75" t="s">
        <v>24</v>
      </c>
      <c r="H76" s="60"/>
      <c r="I76" s="40" t="s">
        <v>42</v>
      </c>
      <c r="J76" s="4"/>
      <c r="K76" s="4" t="str">
        <f t="shared" si="11"/>
        <v/>
      </c>
      <c r="L76" s="16" t="str">
        <f t="shared" si="12"/>
        <v/>
      </c>
      <c r="M76" s="4"/>
      <c r="N76" s="16">
        <v>2.0</v>
      </c>
      <c r="O76" s="88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56"/>
      <c r="AE76" s="95" t="s">
        <v>114</v>
      </c>
      <c r="AF76" s="21" t="s">
        <v>112</v>
      </c>
      <c r="AG76" s="21">
        <v>0.0</v>
      </c>
      <c r="AH76" s="21">
        <v>0.0</v>
      </c>
      <c r="AI76" s="21">
        <v>0.0</v>
      </c>
      <c r="AJ76" s="21">
        <v>0.0</v>
      </c>
      <c r="AK76" s="21">
        <v>0.0</v>
      </c>
      <c r="AL76" s="21">
        <v>0.0</v>
      </c>
      <c r="AM76" s="21">
        <v>0.0</v>
      </c>
      <c r="AN76" s="16"/>
    </row>
    <row r="77" ht="15.75" customHeight="1">
      <c r="A77" s="23"/>
      <c r="B77" s="11">
        <v>45943.0</v>
      </c>
      <c r="C77" s="12" t="s">
        <v>92</v>
      </c>
      <c r="D77" s="59" t="s">
        <v>133</v>
      </c>
      <c r="E77" s="40" t="s">
        <v>32</v>
      </c>
      <c r="F77" s="60"/>
      <c r="G77" s="75" t="s">
        <v>24</v>
      </c>
      <c r="H77" s="60"/>
      <c r="I77" s="40" t="s">
        <v>64</v>
      </c>
      <c r="J77" s="4"/>
      <c r="K77" s="4" t="str">
        <f t="shared" si="11"/>
        <v/>
      </c>
      <c r="L77" s="16" t="str">
        <f t="shared" si="12"/>
        <v/>
      </c>
      <c r="M77" s="4"/>
      <c r="N77" s="16">
        <v>3.0</v>
      </c>
      <c r="O77" s="88" t="s">
        <v>63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56"/>
      <c r="AE77" s="20">
        <v>3.0</v>
      </c>
      <c r="AF77" s="21" t="s">
        <v>63</v>
      </c>
      <c r="AG77" s="21">
        <v>0.0</v>
      </c>
      <c r="AH77" s="21">
        <v>0.0</v>
      </c>
      <c r="AI77" s="21">
        <v>0.0</v>
      </c>
      <c r="AJ77" s="21">
        <v>0.0</v>
      </c>
      <c r="AK77" s="21">
        <v>0.0</v>
      </c>
      <c r="AL77" s="21">
        <v>0.0</v>
      </c>
      <c r="AM77" s="21">
        <v>0.0</v>
      </c>
      <c r="AN77" s="16"/>
    </row>
    <row r="78" ht="15.75" customHeight="1">
      <c r="A78" s="23"/>
      <c r="B78" s="11">
        <v>45943.0</v>
      </c>
      <c r="C78" s="12" t="s">
        <v>96</v>
      </c>
      <c r="D78" s="59" t="s">
        <v>133</v>
      </c>
      <c r="E78" s="40" t="s">
        <v>59</v>
      </c>
      <c r="F78" s="60"/>
      <c r="G78" s="75" t="s">
        <v>24</v>
      </c>
      <c r="H78" s="60"/>
      <c r="I78" s="40" t="s">
        <v>154</v>
      </c>
      <c r="J78" s="4"/>
      <c r="K78" s="4" t="str">
        <f t="shared" si="11"/>
        <v/>
      </c>
      <c r="L78" s="16" t="str">
        <f t="shared" si="12"/>
        <v/>
      </c>
      <c r="M78" s="4"/>
      <c r="N78" s="16">
        <v>4.0</v>
      </c>
      <c r="O78" s="88" t="s">
        <v>32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56"/>
      <c r="AE78" s="20">
        <v>4.0</v>
      </c>
      <c r="AF78" s="21" t="s">
        <v>32</v>
      </c>
      <c r="AG78" s="21">
        <v>0.0</v>
      </c>
      <c r="AH78" s="21">
        <v>0.0</v>
      </c>
      <c r="AI78" s="21">
        <v>0.0</v>
      </c>
      <c r="AJ78" s="21">
        <v>0.0</v>
      </c>
      <c r="AK78" s="21">
        <v>0.0</v>
      </c>
      <c r="AL78" s="21">
        <v>0.0</v>
      </c>
      <c r="AM78" s="21">
        <v>0.0</v>
      </c>
      <c r="AN78" s="16"/>
    </row>
    <row r="79" ht="15.75" customHeight="1">
      <c r="A79" s="23"/>
      <c r="B79" s="93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6" t="str">
        <f t="shared" si="12"/>
        <v/>
      </c>
      <c r="M79" s="4"/>
      <c r="N79" s="16">
        <v>5.0</v>
      </c>
      <c r="O79" s="88" t="s">
        <v>59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56"/>
      <c r="AE79" s="20">
        <v>5.0</v>
      </c>
      <c r="AF79" s="21" t="s">
        <v>59</v>
      </c>
      <c r="AG79" s="21">
        <v>0.0</v>
      </c>
      <c r="AH79" s="21">
        <v>0.0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16"/>
    </row>
    <row r="80" ht="15.75" customHeight="1">
      <c r="A80" s="10">
        <v>2.0</v>
      </c>
      <c r="B80" s="96">
        <v>45957.0</v>
      </c>
      <c r="C80" s="59" t="s">
        <v>92</v>
      </c>
      <c r="D80" s="59" t="s">
        <v>133</v>
      </c>
      <c r="E80" s="40" t="s">
        <v>116</v>
      </c>
      <c r="F80" s="60"/>
      <c r="G80" s="75" t="s">
        <v>24</v>
      </c>
      <c r="H80" s="60"/>
      <c r="I80" s="40" t="s">
        <v>63</v>
      </c>
      <c r="J80" s="4"/>
      <c r="K80" s="4" t="str">
        <f t="shared" si="11"/>
        <v/>
      </c>
      <c r="L80" s="16" t="str">
        <f t="shared" si="12"/>
        <v/>
      </c>
      <c r="M80" s="4"/>
      <c r="N80" s="16">
        <v>6.0</v>
      </c>
      <c r="O80" s="88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0">
        <v>6.0</v>
      </c>
      <c r="AF80" s="21" t="s">
        <v>55</v>
      </c>
      <c r="AG80" s="21">
        <v>0.0</v>
      </c>
      <c r="AH80" s="21">
        <v>0.0</v>
      </c>
      <c r="AI80" s="21">
        <v>0.0</v>
      </c>
      <c r="AJ80" s="21">
        <v>0.0</v>
      </c>
      <c r="AK80" s="21">
        <v>0.0</v>
      </c>
      <c r="AL80" s="21">
        <v>0.0</v>
      </c>
      <c r="AM80" s="21">
        <v>0.0</v>
      </c>
      <c r="AN80" s="16"/>
    </row>
    <row r="81" ht="15.75" customHeight="1">
      <c r="A81" s="23"/>
      <c r="B81" s="97"/>
      <c r="C81" s="98"/>
      <c r="D81" s="81"/>
      <c r="E81" s="40">
        <v>0.0</v>
      </c>
      <c r="F81" s="60"/>
      <c r="G81" s="75" t="s">
        <v>24</v>
      </c>
      <c r="H81" s="60"/>
      <c r="I81" s="40" t="s">
        <v>112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7.0</v>
      </c>
      <c r="O81" s="88" t="s">
        <v>154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56"/>
      <c r="AE81" s="20">
        <v>7.0</v>
      </c>
      <c r="AF81" s="21" t="s">
        <v>154</v>
      </c>
      <c r="AG81" s="21">
        <v>0.0</v>
      </c>
      <c r="AH81" s="21">
        <v>0.0</v>
      </c>
      <c r="AI81" s="21">
        <v>0.0</v>
      </c>
      <c r="AJ81" s="21">
        <v>0.0</v>
      </c>
      <c r="AK81" s="21">
        <v>0.0</v>
      </c>
      <c r="AL81" s="21">
        <v>0.0</v>
      </c>
      <c r="AM81" s="21">
        <v>0.0</v>
      </c>
      <c r="AN81" s="16"/>
    </row>
    <row r="82" ht="15.75" customHeight="1">
      <c r="A82" s="23"/>
      <c r="B82" s="96">
        <v>45957.0</v>
      </c>
      <c r="C82" s="12" t="s">
        <v>96</v>
      </c>
      <c r="D82" s="59" t="s">
        <v>133</v>
      </c>
      <c r="E82" s="40" t="s">
        <v>42</v>
      </c>
      <c r="F82" s="60"/>
      <c r="G82" s="75" t="s">
        <v>24</v>
      </c>
      <c r="H82" s="60"/>
      <c r="I82" s="40" t="s">
        <v>32</v>
      </c>
      <c r="J82" s="4"/>
      <c r="K82" s="4" t="str">
        <f t="shared" si="11"/>
        <v/>
      </c>
      <c r="L82" s="16" t="str">
        <f t="shared" si="12"/>
        <v/>
      </c>
      <c r="M82" s="4"/>
      <c r="N82" s="16">
        <v>8.0</v>
      </c>
      <c r="O82" s="88" t="s">
        <v>64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56"/>
      <c r="AE82" s="20">
        <v>8.0</v>
      </c>
      <c r="AF82" s="21" t="s">
        <v>64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21">
        <v>0.0</v>
      </c>
      <c r="AN82" s="16"/>
    </row>
    <row r="83" ht="15.75" customHeight="1">
      <c r="A83" s="23"/>
      <c r="B83" s="96">
        <v>45957.0</v>
      </c>
      <c r="C83" s="12" t="s">
        <v>100</v>
      </c>
      <c r="D83" s="59" t="s">
        <v>133</v>
      </c>
      <c r="E83" s="40" t="s">
        <v>64</v>
      </c>
      <c r="F83" s="60"/>
      <c r="G83" s="75" t="s">
        <v>24</v>
      </c>
      <c r="H83" s="60"/>
      <c r="I83" s="40" t="s">
        <v>59</v>
      </c>
      <c r="J83" s="4"/>
      <c r="K83" s="4" t="str">
        <f t="shared" si="11"/>
        <v/>
      </c>
      <c r="L83" s="16" t="str">
        <f t="shared" si="12"/>
        <v/>
      </c>
      <c r="M83" s="4"/>
      <c r="N83" s="16">
        <v>9.0</v>
      </c>
      <c r="O83" s="88" t="s">
        <v>42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56"/>
      <c r="X83" s="56"/>
      <c r="Y83" s="56"/>
      <c r="Z83" s="56"/>
      <c r="AA83" s="56"/>
      <c r="AB83" s="56"/>
      <c r="AC83" s="56"/>
      <c r="AD83" s="56"/>
      <c r="AE83" s="20">
        <v>9.0</v>
      </c>
      <c r="AF83" s="21" t="s">
        <v>42</v>
      </c>
      <c r="AG83" s="21">
        <v>0.0</v>
      </c>
      <c r="AH83" s="21">
        <v>0.0</v>
      </c>
      <c r="AI83" s="21">
        <v>0.0</v>
      </c>
      <c r="AJ83" s="21">
        <v>0.0</v>
      </c>
      <c r="AK83" s="21">
        <v>0.0</v>
      </c>
      <c r="AL83" s="45">
        <v>0.0</v>
      </c>
      <c r="AM83" s="45">
        <v>0.0</v>
      </c>
      <c r="AN83" s="16"/>
    </row>
    <row r="84" ht="15.75" customHeight="1">
      <c r="A84" s="23"/>
      <c r="B84" s="96">
        <v>45957.0</v>
      </c>
      <c r="C84" s="12" t="s">
        <v>104</v>
      </c>
      <c r="D84" s="59" t="s">
        <v>133</v>
      </c>
      <c r="E84" s="40" t="s">
        <v>154</v>
      </c>
      <c r="F84" s="40"/>
      <c r="G84" s="75" t="s">
        <v>24</v>
      </c>
      <c r="H84" s="40"/>
      <c r="I84" s="40" t="s">
        <v>55</v>
      </c>
      <c r="J84" s="4"/>
      <c r="K84" s="4" t="str">
        <f t="shared" si="11"/>
        <v/>
      </c>
      <c r="L84" s="16" t="str">
        <f t="shared" si="12"/>
        <v/>
      </c>
      <c r="M84" s="4"/>
      <c r="N84" s="16"/>
      <c r="O84" s="4"/>
      <c r="P84" s="16"/>
      <c r="Q84" s="16"/>
      <c r="R84" s="18"/>
      <c r="S84" s="18"/>
      <c r="T84" s="16"/>
      <c r="U84" s="18"/>
      <c r="V84" s="16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99"/>
      <c r="AM84" s="99"/>
      <c r="AN84" s="16"/>
    </row>
    <row r="85" ht="15.75" customHeight="1">
      <c r="A85" s="10">
        <v>3.0</v>
      </c>
      <c r="B85" s="93"/>
      <c r="C85" s="75"/>
      <c r="D85" s="75"/>
      <c r="E85" s="40" t="s">
        <v>32</v>
      </c>
      <c r="F85" s="60"/>
      <c r="G85" s="75" t="s">
        <v>24</v>
      </c>
      <c r="H85" s="60"/>
      <c r="I85" s="40" t="s">
        <v>116</v>
      </c>
      <c r="J85" s="4"/>
      <c r="K85" s="4" t="str">
        <f t="shared" si="11"/>
        <v/>
      </c>
      <c r="L85" s="16" t="str">
        <f t="shared" si="12"/>
        <v/>
      </c>
      <c r="M85" s="4"/>
      <c r="N85" s="4"/>
      <c r="O85" s="4"/>
      <c r="P85" s="16"/>
      <c r="Q85" s="16"/>
      <c r="R85" s="18"/>
      <c r="S85" s="18"/>
      <c r="T85" s="16"/>
      <c r="U85" s="18"/>
      <c r="V85" s="16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6"/>
      <c r="AI85" s="16"/>
      <c r="AJ85" s="16"/>
      <c r="AK85" s="16"/>
      <c r="AL85" s="16"/>
      <c r="AM85" s="16"/>
      <c r="AN85" s="4"/>
    </row>
    <row r="86" ht="15.75" customHeight="1">
      <c r="A86" s="23"/>
      <c r="B86" s="93"/>
      <c r="C86" s="75"/>
      <c r="D86" s="75"/>
      <c r="E86" s="40" t="s">
        <v>63</v>
      </c>
      <c r="F86" s="60"/>
      <c r="G86" s="75" t="s">
        <v>24</v>
      </c>
      <c r="H86" s="60"/>
      <c r="I86" s="40" t="s">
        <v>112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16"/>
      <c r="Q86" s="16"/>
      <c r="R86" s="18"/>
      <c r="S86" s="18"/>
      <c r="T86" s="16"/>
      <c r="U86" s="18"/>
      <c r="V86" s="16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6"/>
      <c r="AK86" s="16"/>
      <c r="AL86" s="16"/>
      <c r="AM86" s="16"/>
      <c r="AN86" s="4"/>
    </row>
    <row r="87" ht="15.75" customHeight="1">
      <c r="A87" s="23"/>
      <c r="B87" s="93"/>
      <c r="C87" s="75"/>
      <c r="D87" s="75"/>
      <c r="E87" s="40" t="s">
        <v>59</v>
      </c>
      <c r="F87" s="60"/>
      <c r="G87" s="75" t="s">
        <v>24</v>
      </c>
      <c r="H87" s="60"/>
      <c r="I87" s="40" t="s">
        <v>42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3"/>
      <c r="B88" s="93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3"/>
      <c r="B89" s="93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3"/>
      <c r="C90" s="60"/>
      <c r="D90" s="75"/>
      <c r="E90" s="40" t="s">
        <v>116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3"/>
      <c r="B91" s="93"/>
      <c r="C91" s="75"/>
      <c r="D91" s="75"/>
      <c r="E91" s="40" t="s">
        <v>112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3"/>
      <c r="B92" s="93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3"/>
      <c r="B93" s="93"/>
      <c r="C93" s="60"/>
      <c r="D93" s="75"/>
      <c r="E93" s="40" t="s">
        <v>42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3"/>
      <c r="B94" s="93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3"/>
      <c r="C95" s="75"/>
      <c r="D95" s="75"/>
      <c r="E95" s="40" t="s">
        <v>55</v>
      </c>
      <c r="F95" s="60"/>
      <c r="G95" s="75" t="s">
        <v>24</v>
      </c>
      <c r="H95" s="60"/>
      <c r="I95" s="40" t="s">
        <v>116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3"/>
      <c r="B96" s="93"/>
      <c r="C96" s="75"/>
      <c r="D96" s="75"/>
      <c r="E96" s="40" t="s">
        <v>59</v>
      </c>
      <c r="F96" s="60"/>
      <c r="G96" s="75" t="s">
        <v>24</v>
      </c>
      <c r="H96" s="60"/>
      <c r="I96" s="40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3"/>
      <c r="B97" s="93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3"/>
      <c r="B98" s="93"/>
      <c r="C98" s="75"/>
      <c r="D98" s="75"/>
      <c r="E98" s="40" t="s">
        <v>154</v>
      </c>
      <c r="F98" s="60"/>
      <c r="G98" s="75" t="s">
        <v>24</v>
      </c>
      <c r="H98" s="60"/>
      <c r="I98" s="40" t="s">
        <v>42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3"/>
      <c r="B99" s="93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3"/>
      <c r="C100" s="75"/>
      <c r="D100" s="75"/>
      <c r="E100" s="40" t="s">
        <v>116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3"/>
      <c r="B101" s="93"/>
      <c r="C101" s="75"/>
      <c r="D101" s="75"/>
      <c r="E101" s="40" t="s">
        <v>112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3"/>
      <c r="B102" s="93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3"/>
      <c r="B103" s="93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3"/>
      <c r="B104" s="93"/>
      <c r="C104" s="75"/>
      <c r="D104" s="75"/>
      <c r="E104" s="40" t="s">
        <v>42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3"/>
      <c r="C105" s="75"/>
      <c r="D105" s="75"/>
      <c r="E105" s="40" t="s">
        <v>64</v>
      </c>
      <c r="F105" s="60"/>
      <c r="G105" s="75" t="s">
        <v>24</v>
      </c>
      <c r="H105" s="60"/>
      <c r="I105" s="40" t="s">
        <v>116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3"/>
      <c r="B106" s="93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112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3"/>
      <c r="B107" s="93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3"/>
      <c r="B108" s="93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3"/>
      <c r="B109" s="93"/>
      <c r="C109" s="75"/>
      <c r="D109" s="75"/>
      <c r="E109" s="40">
        <v>0.0</v>
      </c>
      <c r="F109" s="60"/>
      <c r="G109" s="75" t="s">
        <v>24</v>
      </c>
      <c r="H109" s="60"/>
      <c r="I109" s="40" t="s">
        <v>42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3"/>
      <c r="C110" s="75"/>
      <c r="D110" s="75"/>
      <c r="E110" s="40" t="s">
        <v>116</v>
      </c>
      <c r="F110" s="60"/>
      <c r="G110" s="75" t="s">
        <v>24</v>
      </c>
      <c r="H110" s="60"/>
      <c r="I110" s="40" t="s">
        <v>42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3"/>
      <c r="B111" s="93"/>
      <c r="C111" s="75"/>
      <c r="D111" s="75"/>
      <c r="E111" s="40" t="s">
        <v>112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3"/>
      <c r="B112" s="93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3"/>
      <c r="B113" s="93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3"/>
      <c r="B114" s="93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3"/>
      <c r="C115" s="75"/>
      <c r="D115" s="75"/>
      <c r="E115" s="40">
        <v>0.0</v>
      </c>
      <c r="F115" s="60"/>
      <c r="G115" s="75" t="s">
        <v>24</v>
      </c>
      <c r="H115" s="60"/>
      <c r="I115" s="40" t="s">
        <v>116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3"/>
      <c r="B116" s="93"/>
      <c r="C116" s="75"/>
      <c r="D116" s="75"/>
      <c r="E116" s="40" t="s">
        <v>42</v>
      </c>
      <c r="F116" s="60"/>
      <c r="G116" s="75" t="s">
        <v>24</v>
      </c>
      <c r="H116" s="60"/>
      <c r="I116" s="40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3"/>
      <c r="B117" s="93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3"/>
      <c r="B118" s="93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3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6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89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6">
        <v>45945.0</v>
      </c>
      <c r="C126" s="12" t="s">
        <v>96</v>
      </c>
      <c r="D126" s="12" t="s">
        <v>133</v>
      </c>
      <c r="E126" s="40" t="s">
        <v>62</v>
      </c>
      <c r="F126" s="60"/>
      <c r="G126" s="75" t="s">
        <v>24</v>
      </c>
      <c r="H126" s="60"/>
      <c r="I126" s="40" t="s">
        <v>157</v>
      </c>
      <c r="J126" s="4"/>
      <c r="K126" s="4" t="str">
        <f t="shared" ref="K126:K170" si="20">IF(F126="","",IFS(F126&gt;H126,3,F126=H126,1,H126&gt;F126,0,F126="",0))</f>
        <v/>
      </c>
      <c r="L126" s="16" t="str">
        <f t="shared" ref="L126:L170" si="21">IF(H126="","",IFS(F126&lt;H126,3,F126=H126,1,H126&lt;F126,0))</f>
        <v/>
      </c>
      <c r="M126" s="4"/>
      <c r="N126" s="16">
        <v>1.0</v>
      </c>
      <c r="O126" s="88" t="s">
        <v>157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COUNTIFS(E$126:E$170,O126,K$126:K$170,3)+COUNTIFS(I$126:I$170,O126,L$126:L$170,3)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1" t="str">
        <f t="array" ref="AF126:AN134">SORT(O126:W135,2,FALSE,9,FALSE,8,FALSE())</f>
        <v>MOC</v>
      </c>
      <c r="AG126" s="21">
        <v>0.0</v>
      </c>
      <c r="AH126" s="21">
        <v>0.0</v>
      </c>
      <c r="AI126" s="21">
        <v>0.0</v>
      </c>
      <c r="AJ126" s="21">
        <v>0.0</v>
      </c>
      <c r="AK126" s="21">
        <v>0.0</v>
      </c>
      <c r="AL126" s="21">
        <v>0.0</v>
      </c>
      <c r="AM126" s="21">
        <v>0.0</v>
      </c>
      <c r="AN126" s="16"/>
    </row>
    <row r="127" ht="15.75" customHeight="1">
      <c r="A127" s="23"/>
      <c r="B127" s="96">
        <v>45952.0</v>
      </c>
      <c r="C127" s="12" t="s">
        <v>148</v>
      </c>
      <c r="D127" s="12" t="s">
        <v>133</v>
      </c>
      <c r="E127" s="40" t="s">
        <v>118</v>
      </c>
      <c r="F127" s="60"/>
      <c r="G127" s="75" t="s">
        <v>24</v>
      </c>
      <c r="H127" s="60"/>
      <c r="I127" s="40" t="s">
        <v>123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88" t="s">
        <v>62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114</v>
      </c>
      <c r="AF127" s="21" t="s">
        <v>62</v>
      </c>
      <c r="AG127" s="21">
        <v>0.0</v>
      </c>
      <c r="AH127" s="21">
        <v>0.0</v>
      </c>
      <c r="AI127" s="21">
        <v>0.0</v>
      </c>
      <c r="AJ127" s="21">
        <v>0.0</v>
      </c>
      <c r="AK127" s="21">
        <v>0.0</v>
      </c>
      <c r="AL127" s="21">
        <v>0.0</v>
      </c>
      <c r="AM127" s="21">
        <v>0.0</v>
      </c>
      <c r="AN127" s="16"/>
    </row>
    <row r="128" ht="15.75" customHeight="1">
      <c r="A128" s="23"/>
      <c r="B128" s="96">
        <v>45945.0</v>
      </c>
      <c r="C128" s="59" t="s">
        <v>100</v>
      </c>
      <c r="D128" s="12" t="s">
        <v>133</v>
      </c>
      <c r="E128" s="40" t="s">
        <v>134</v>
      </c>
      <c r="F128" s="60"/>
      <c r="G128" s="75" t="s">
        <v>24</v>
      </c>
      <c r="H128" s="60"/>
      <c r="I128" s="40" t="s">
        <v>57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88" t="s">
        <v>118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0">
        <v>3.0</v>
      </c>
      <c r="AF128" s="21" t="s">
        <v>118</v>
      </c>
      <c r="AG128" s="21">
        <v>0.0</v>
      </c>
      <c r="AH128" s="21">
        <v>0.0</v>
      </c>
      <c r="AI128" s="21">
        <v>0.0</v>
      </c>
      <c r="AJ128" s="21">
        <v>0.0</v>
      </c>
      <c r="AK128" s="21">
        <v>0.0</v>
      </c>
      <c r="AL128" s="21">
        <v>0.0</v>
      </c>
      <c r="AM128" s="21">
        <v>0.0</v>
      </c>
      <c r="AN128" s="16"/>
    </row>
    <row r="129" ht="15.75" customHeight="1">
      <c r="A129" s="23"/>
      <c r="B129" s="96">
        <v>45945.0</v>
      </c>
      <c r="C129" s="12" t="s">
        <v>104</v>
      </c>
      <c r="D129" s="12" t="s">
        <v>133</v>
      </c>
      <c r="E129" s="40" t="s">
        <v>56</v>
      </c>
      <c r="F129" s="60"/>
      <c r="G129" s="75" t="s">
        <v>24</v>
      </c>
      <c r="H129" s="60"/>
      <c r="I129" s="40" t="s">
        <v>158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88" t="s">
        <v>134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56"/>
      <c r="AE129" s="20">
        <v>4.0</v>
      </c>
      <c r="AF129" s="21" t="s">
        <v>134</v>
      </c>
      <c r="AG129" s="21">
        <v>0.0</v>
      </c>
      <c r="AH129" s="21">
        <v>0.0</v>
      </c>
      <c r="AI129" s="21">
        <v>0.0</v>
      </c>
      <c r="AJ129" s="21">
        <v>0.0</v>
      </c>
      <c r="AK129" s="21">
        <v>0.0</v>
      </c>
      <c r="AL129" s="21">
        <v>0.0</v>
      </c>
      <c r="AM129" s="21">
        <v>0.0</v>
      </c>
      <c r="AN129" s="16"/>
    </row>
    <row r="130" ht="15.75" customHeight="1">
      <c r="A130" s="23"/>
      <c r="B130" s="93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88" t="s">
        <v>56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56"/>
      <c r="AE130" s="20">
        <v>5.0</v>
      </c>
      <c r="AF130" s="21" t="s">
        <v>56</v>
      </c>
      <c r="AG130" s="21">
        <v>0.0</v>
      </c>
      <c r="AH130" s="21">
        <v>0.0</v>
      </c>
      <c r="AI130" s="21">
        <v>0.0</v>
      </c>
      <c r="AJ130" s="21">
        <v>0.0</v>
      </c>
      <c r="AK130" s="21">
        <v>0.0</v>
      </c>
      <c r="AL130" s="21">
        <v>0.0</v>
      </c>
      <c r="AM130" s="21">
        <v>0.0</v>
      </c>
      <c r="AN130" s="16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/>
      <c r="G131" s="75" t="s">
        <v>24</v>
      </c>
      <c r="H131" s="40"/>
      <c r="I131" s="40" t="s">
        <v>118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88" t="s">
        <v>159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56"/>
      <c r="AE131" s="20">
        <v>6.0</v>
      </c>
      <c r="AF131" s="21" t="s">
        <v>159</v>
      </c>
      <c r="AG131" s="21">
        <v>0.0</v>
      </c>
      <c r="AH131" s="21">
        <v>0.0</v>
      </c>
      <c r="AI131" s="21">
        <v>0.0</v>
      </c>
      <c r="AJ131" s="21">
        <v>0.0</v>
      </c>
      <c r="AK131" s="21">
        <v>0.0</v>
      </c>
      <c r="AL131" s="21">
        <v>0.0</v>
      </c>
      <c r="AM131" s="21">
        <v>0.0</v>
      </c>
      <c r="AN131" s="16"/>
    </row>
    <row r="132" ht="15.75" customHeight="1">
      <c r="A132" s="23"/>
      <c r="B132" s="100"/>
      <c r="C132" s="98"/>
      <c r="D132" s="98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88" t="s">
        <v>158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56"/>
      <c r="AE132" s="20">
        <v>7.0</v>
      </c>
      <c r="AF132" s="21" t="s">
        <v>158</v>
      </c>
      <c r="AG132" s="21">
        <v>0.0</v>
      </c>
      <c r="AH132" s="21">
        <v>0.0</v>
      </c>
      <c r="AI132" s="21">
        <v>0.0</v>
      </c>
      <c r="AJ132" s="21">
        <v>0.0</v>
      </c>
      <c r="AK132" s="21">
        <v>0.0</v>
      </c>
      <c r="AL132" s="21">
        <v>0.0</v>
      </c>
      <c r="AM132" s="21">
        <v>0.0</v>
      </c>
      <c r="AN132" s="16"/>
    </row>
    <row r="133" ht="15.75" customHeight="1">
      <c r="A133" s="23"/>
      <c r="B133" s="11">
        <v>45953.0</v>
      </c>
      <c r="C133" s="59" t="s">
        <v>21</v>
      </c>
      <c r="D133" s="12" t="s">
        <v>22</v>
      </c>
      <c r="E133" s="40" t="s">
        <v>123</v>
      </c>
      <c r="F133" s="60"/>
      <c r="G133" s="75" t="s">
        <v>24</v>
      </c>
      <c r="H133" s="60"/>
      <c r="I133" s="40" t="s">
        <v>134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88" t="s">
        <v>57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0">
        <v>8.0</v>
      </c>
      <c r="AF133" s="21" t="s">
        <v>57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21">
        <v>0.0</v>
      </c>
      <c r="AN133" s="16"/>
    </row>
    <row r="134" ht="15.75" customHeight="1">
      <c r="A134" s="23"/>
      <c r="B134" s="11">
        <v>45958.0</v>
      </c>
      <c r="C134" s="12" t="s">
        <v>96</v>
      </c>
      <c r="D134" s="12" t="s">
        <v>133</v>
      </c>
      <c r="E134" s="40" t="s">
        <v>57</v>
      </c>
      <c r="F134" s="60"/>
      <c r="G134" s="75" t="s">
        <v>24</v>
      </c>
      <c r="H134" s="60"/>
      <c r="I134" s="40" t="s">
        <v>56</v>
      </c>
      <c r="J134" s="4"/>
      <c r="K134" s="4" t="str">
        <f t="shared" si="20"/>
        <v/>
      </c>
      <c r="L134" s="16" t="str">
        <f t="shared" si="21"/>
        <v/>
      </c>
      <c r="M134" s="4"/>
      <c r="N134" s="16">
        <v>9.0</v>
      </c>
      <c r="O134" s="88" t="s">
        <v>123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56"/>
      <c r="AE134" s="20">
        <v>9.0</v>
      </c>
      <c r="AF134" s="21" t="s">
        <v>123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21">
        <v>0.0</v>
      </c>
      <c r="AN134" s="16"/>
    </row>
    <row r="135" ht="15.75" customHeight="1">
      <c r="A135" s="23"/>
      <c r="B135" s="11">
        <v>45958.0</v>
      </c>
      <c r="C135" s="59" t="s">
        <v>100</v>
      </c>
      <c r="D135" s="12" t="s">
        <v>133</v>
      </c>
      <c r="E135" s="40" t="s">
        <v>158</v>
      </c>
      <c r="F135" s="60"/>
      <c r="G135" s="75" t="s">
        <v>24</v>
      </c>
      <c r="H135" s="60"/>
      <c r="I135" s="40" t="s">
        <v>159</v>
      </c>
      <c r="J135" s="4"/>
      <c r="K135" s="4" t="str">
        <f t="shared" si="20"/>
        <v/>
      </c>
      <c r="L135" s="16" t="str">
        <f t="shared" si="21"/>
        <v/>
      </c>
      <c r="M135" s="4"/>
      <c r="N135" s="16"/>
      <c r="O135" s="4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6"/>
    </row>
    <row r="136" ht="15.75" customHeight="1">
      <c r="A136" s="10">
        <v>3.0</v>
      </c>
      <c r="B136" s="93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6" t="str">
        <f t="shared" si="21"/>
        <v/>
      </c>
      <c r="M136" s="4"/>
      <c r="N136" s="4"/>
      <c r="O136" s="4"/>
      <c r="P136" s="16"/>
      <c r="Q136" s="16"/>
      <c r="R136" s="18"/>
      <c r="S136" s="18"/>
      <c r="T136" s="16"/>
      <c r="U136" s="18"/>
      <c r="V136" s="16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6"/>
      <c r="AI136" s="16"/>
      <c r="AJ136" s="16"/>
      <c r="AK136" s="16"/>
      <c r="AL136" s="16"/>
      <c r="AM136" s="16"/>
      <c r="AN136" s="4"/>
    </row>
    <row r="137" ht="15.75" customHeight="1">
      <c r="A137" s="23"/>
      <c r="B137" s="93"/>
      <c r="C137" s="75"/>
      <c r="D137" s="75"/>
      <c r="E137" s="40" t="s">
        <v>118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6" t="str">
        <f t="shared" si="21"/>
        <v/>
      </c>
      <c r="M137" s="4"/>
      <c r="N137" s="4"/>
      <c r="O137" s="4"/>
      <c r="P137" s="16"/>
      <c r="Q137" s="16"/>
      <c r="R137" s="18"/>
      <c r="S137" s="18"/>
      <c r="T137" s="16"/>
      <c r="U137" s="18"/>
      <c r="V137" s="16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6"/>
      <c r="AK137" s="16"/>
      <c r="AL137" s="16"/>
      <c r="AM137" s="16"/>
      <c r="AN137" s="4"/>
    </row>
    <row r="138" ht="15.75" customHeight="1">
      <c r="A138" s="23"/>
      <c r="B138" s="93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3"/>
      <c r="B139" s="93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3"/>
      <c r="B140" s="93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3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3"/>
      <c r="B142" s="93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3"/>
      <c r="B143" s="93"/>
      <c r="C143" s="75"/>
      <c r="D143" s="75"/>
      <c r="E143" s="40" t="s">
        <v>118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3"/>
      <c r="B144" s="93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3"/>
      <c r="B145" s="93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3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3"/>
      <c r="B147" s="93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3"/>
      <c r="B148" s="93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118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3"/>
      <c r="B149" s="93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3"/>
      <c r="B150" s="93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6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3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6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3"/>
      <c r="B152" s="93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6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3"/>
      <c r="B153" s="93"/>
      <c r="C153" s="75"/>
      <c r="D153" s="75"/>
      <c r="E153" s="40" t="s">
        <v>118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6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3"/>
      <c r="B154" s="93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6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3"/>
      <c r="B155" s="93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6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3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6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3"/>
      <c r="B157" s="93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6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3"/>
      <c r="B158" s="93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118</v>
      </c>
      <c r="J158" s="4"/>
      <c r="K158" s="4" t="str">
        <f t="shared" si="20"/>
        <v/>
      </c>
      <c r="L158" s="16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3"/>
      <c r="B159" s="93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6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3"/>
      <c r="B160" s="93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6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3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6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3"/>
      <c r="B162" s="93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6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3"/>
      <c r="B163" s="93"/>
      <c r="C163" s="75"/>
      <c r="D163" s="75"/>
      <c r="E163" s="40" t="s">
        <v>118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6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3"/>
      <c r="B164" s="93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6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3"/>
      <c r="B165" s="93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6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3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3"/>
      <c r="B167" s="93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3"/>
      <c r="B168" s="93"/>
      <c r="C168" s="60"/>
      <c r="D168" s="75"/>
      <c r="E168" s="40" t="s">
        <v>57</v>
      </c>
      <c r="F168" s="60"/>
      <c r="G168" s="75" t="s">
        <v>24</v>
      </c>
      <c r="H168" s="60"/>
      <c r="I168" s="40" t="s">
        <v>118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3"/>
      <c r="B169" s="93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3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1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60"/>
      <c r="G177" s="75" t="s">
        <v>24</v>
      </c>
      <c r="H177" s="60"/>
      <c r="I177" s="40" t="s">
        <v>39</v>
      </c>
      <c r="J177" s="4"/>
      <c r="K177" s="4" t="str">
        <f t="shared" ref="K177:K221" si="29">IF(F177="","",IFS(F177&gt;H177,3,F177=H177,1,H177&gt;F177,0,F177="",0))</f>
        <v/>
      </c>
      <c r="L177" s="16" t="str">
        <f t="shared" ref="L177:L221" si="30">IF(H177="","",IFS(F177&lt;H177,3,F177=H177,1,H177&lt;F177,0))</f>
        <v/>
      </c>
      <c r="M177" s="4"/>
      <c r="N177" s="16">
        <v>1.0</v>
      </c>
      <c r="O177" s="88" t="s">
        <v>39</v>
      </c>
      <c r="P177" s="16">
        <f t="shared" ref="P177:P186" si="31">SUMIF(E$177:E$221,O177,K$177:K$221)+SUMIF(I$177:I$221,O177,L$177:L$221)</f>
        <v>0</v>
      </c>
      <c r="Q177" s="16">
        <f t="shared" ref="Q177:Q186" si="32">COUNTIFS(E$177:E$221,O177,K$177:K$221,3)+COUNTIFS(I$177:I$221,O177,L$177:L$221,3)</f>
        <v>0</v>
      </c>
      <c r="R177" s="18">
        <f t="shared" ref="R177:R186" si="33">COUNTIFS(E$177:E$221,O177,K$177:K$221,1)+COUNTIFS(I$177:I$221,O177,L$177:L$221,1)</f>
        <v>0</v>
      </c>
      <c r="S177" s="18">
        <f t="shared" ref="S177:S186" si="34">COUNTIFS(E$177:E$221,O177,K$177:K$221,0)+COUNTIFS(I$177:I$221,O177,L$177:L$221,0)</f>
        <v>0</v>
      </c>
      <c r="T177" s="16">
        <f t="shared" ref="T177:T186" si="35">SUMIF(E$177:E$221,O177,F$177:F$221)+SUMIF(I$177:I$221,O177,H$177:H$221)</f>
        <v>0</v>
      </c>
      <c r="U177" s="18">
        <f t="shared" ref="U177:U186" si="36">SUMIF(E$177:E$221,O177,H$177:H$221)+SUMIF(I$177:I$221,O177,F$177:F$221)</f>
        <v>0</v>
      </c>
      <c r="V177" s="16">
        <f t="shared" ref="V177:V186" si="37">T177-U177</f>
        <v>0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1" t="str">
        <f t="array" ref="AF177:AN186">SORT(O177:W186,2,FALSE,9,FALSE,8,FALSE())</f>
        <v>ECT</v>
      </c>
      <c r="AG177" s="21">
        <v>0.0</v>
      </c>
      <c r="AH177" s="21">
        <v>0.0</v>
      </c>
      <c r="AI177" s="21">
        <v>0.0</v>
      </c>
      <c r="AJ177" s="21">
        <v>0.0</v>
      </c>
      <c r="AK177" s="21">
        <v>0.0</v>
      </c>
      <c r="AL177" s="21">
        <v>0.0</v>
      </c>
      <c r="AM177" s="21">
        <v>0.0</v>
      </c>
      <c r="AN177" s="16"/>
    </row>
    <row r="178" ht="15.75" customHeight="1">
      <c r="A178" s="23"/>
      <c r="B178" s="11">
        <v>45944.0</v>
      </c>
      <c r="C178" s="59" t="s">
        <v>100</v>
      </c>
      <c r="D178" s="12" t="s">
        <v>133</v>
      </c>
      <c r="E178" s="40" t="s">
        <v>54</v>
      </c>
      <c r="F178" s="60"/>
      <c r="G178" s="75" t="s">
        <v>24</v>
      </c>
      <c r="H178" s="60"/>
      <c r="I178" s="40" t="s">
        <v>43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88" t="s">
        <v>31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114</v>
      </c>
      <c r="AF178" s="21" t="s">
        <v>31</v>
      </c>
      <c r="AG178" s="21">
        <v>0.0</v>
      </c>
      <c r="AH178" s="21">
        <v>0.0</v>
      </c>
      <c r="AI178" s="21">
        <v>0.0</v>
      </c>
      <c r="AJ178" s="21">
        <v>0.0</v>
      </c>
      <c r="AK178" s="21">
        <v>0.0</v>
      </c>
      <c r="AL178" s="21">
        <v>0.0</v>
      </c>
      <c r="AM178" s="21">
        <v>0.0</v>
      </c>
      <c r="AN178" s="16"/>
    </row>
    <row r="179" ht="15.75" customHeight="1">
      <c r="A179" s="23"/>
      <c r="B179" s="11">
        <v>45944.0</v>
      </c>
      <c r="C179" s="12" t="s">
        <v>104</v>
      </c>
      <c r="D179" s="12" t="s">
        <v>133</v>
      </c>
      <c r="E179" s="40" t="s">
        <v>121</v>
      </c>
      <c r="F179" s="60"/>
      <c r="G179" s="75" t="s">
        <v>24</v>
      </c>
      <c r="H179" s="60"/>
      <c r="I179" s="40" t="s">
        <v>162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88" t="s">
        <v>54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56"/>
      <c r="AE179" s="20">
        <v>3.0</v>
      </c>
      <c r="AF179" s="21" t="s">
        <v>54</v>
      </c>
      <c r="AG179" s="21">
        <v>0.0</v>
      </c>
      <c r="AH179" s="21">
        <v>0.0</v>
      </c>
      <c r="AI179" s="21">
        <v>0.0</v>
      </c>
      <c r="AJ179" s="21">
        <v>0.0</v>
      </c>
      <c r="AK179" s="21">
        <v>0.0</v>
      </c>
      <c r="AL179" s="21">
        <v>0.0</v>
      </c>
      <c r="AM179" s="21">
        <v>0.0</v>
      </c>
      <c r="AN179" s="16"/>
    </row>
    <row r="180" ht="15.75" customHeight="1">
      <c r="A180" s="23"/>
      <c r="B180" s="11">
        <v>45952.0</v>
      </c>
      <c r="C180" s="12" t="s">
        <v>147</v>
      </c>
      <c r="D180" s="12" t="s">
        <v>133</v>
      </c>
      <c r="E180" s="40" t="s">
        <v>37</v>
      </c>
      <c r="F180" s="60"/>
      <c r="G180" s="75" t="s">
        <v>24</v>
      </c>
      <c r="H180" s="60"/>
      <c r="I180" s="40" t="s">
        <v>163</v>
      </c>
      <c r="J180" s="4"/>
      <c r="K180" s="4" t="str">
        <f t="shared" si="29"/>
        <v/>
      </c>
      <c r="L180" s="16" t="str">
        <f t="shared" si="30"/>
        <v/>
      </c>
      <c r="M180" s="4"/>
      <c r="N180" s="16">
        <v>4.0</v>
      </c>
      <c r="O180" s="88" t="s">
        <v>121</v>
      </c>
      <c r="P180" s="16">
        <f t="shared" si="31"/>
        <v>0</v>
      </c>
      <c r="Q180" s="16">
        <f t="shared" si="32"/>
        <v>0</v>
      </c>
      <c r="R180" s="18">
        <f t="shared" si="33"/>
        <v>0</v>
      </c>
      <c r="S180" s="18">
        <f t="shared" si="34"/>
        <v>0</v>
      </c>
      <c r="T180" s="16">
        <f t="shared" si="35"/>
        <v>0</v>
      </c>
      <c r="U180" s="18">
        <f t="shared" si="36"/>
        <v>0</v>
      </c>
      <c r="V180" s="16">
        <f t="shared" si="37"/>
        <v>0</v>
      </c>
      <c r="W180" s="56"/>
      <c r="X180" s="56"/>
      <c r="Y180" s="56"/>
      <c r="Z180" s="56"/>
      <c r="AA180" s="56"/>
      <c r="AB180" s="56"/>
      <c r="AC180" s="56"/>
      <c r="AD180" s="56"/>
      <c r="AE180" s="20">
        <v>4.0</v>
      </c>
      <c r="AF180" s="21" t="s">
        <v>121</v>
      </c>
      <c r="AG180" s="21">
        <v>0.0</v>
      </c>
      <c r="AH180" s="21">
        <v>0.0</v>
      </c>
      <c r="AI180" s="21">
        <v>0.0</v>
      </c>
      <c r="AJ180" s="21">
        <v>0.0</v>
      </c>
      <c r="AK180" s="21">
        <v>0.0</v>
      </c>
      <c r="AL180" s="21">
        <v>0.0</v>
      </c>
      <c r="AM180" s="21">
        <v>0.0</v>
      </c>
      <c r="AN180" s="16"/>
    </row>
    <row r="181" ht="15.75" customHeight="1">
      <c r="A181" s="23"/>
      <c r="B181" s="11">
        <v>45945.0</v>
      </c>
      <c r="C181" s="59" t="s">
        <v>92</v>
      </c>
      <c r="D181" s="12" t="s">
        <v>133</v>
      </c>
      <c r="E181" s="40" t="s">
        <v>60</v>
      </c>
      <c r="F181" s="60"/>
      <c r="G181" s="75" t="s">
        <v>24</v>
      </c>
      <c r="H181" s="60"/>
      <c r="I181" s="40" t="s">
        <v>93</v>
      </c>
      <c r="J181" s="4"/>
      <c r="K181" s="4" t="str">
        <f t="shared" si="29"/>
        <v/>
      </c>
      <c r="L181" s="16" t="str">
        <f t="shared" si="30"/>
        <v/>
      </c>
      <c r="M181" s="4"/>
      <c r="N181" s="16">
        <v>5.0</v>
      </c>
      <c r="O181" s="88" t="s">
        <v>37</v>
      </c>
      <c r="P181" s="16">
        <f t="shared" si="31"/>
        <v>0</v>
      </c>
      <c r="Q181" s="16">
        <f t="shared" si="32"/>
        <v>0</v>
      </c>
      <c r="R181" s="18">
        <f t="shared" si="33"/>
        <v>0</v>
      </c>
      <c r="S181" s="18">
        <f t="shared" si="34"/>
        <v>0</v>
      </c>
      <c r="T181" s="16">
        <f t="shared" si="35"/>
        <v>0</v>
      </c>
      <c r="U181" s="18">
        <f t="shared" si="36"/>
        <v>0</v>
      </c>
      <c r="V181" s="16">
        <f t="shared" si="37"/>
        <v>0</v>
      </c>
      <c r="W181" s="56"/>
      <c r="X181" s="56"/>
      <c r="Y181" s="56"/>
      <c r="Z181" s="56"/>
      <c r="AA181" s="56"/>
      <c r="AB181" s="56"/>
      <c r="AC181" s="56"/>
      <c r="AD181" s="56"/>
      <c r="AE181" s="20">
        <v>5.0</v>
      </c>
      <c r="AF181" s="21" t="s">
        <v>37</v>
      </c>
      <c r="AG181" s="21">
        <v>0.0</v>
      </c>
      <c r="AH181" s="21">
        <v>0.0</v>
      </c>
      <c r="AI181" s="21">
        <v>0.0</v>
      </c>
      <c r="AJ181" s="21">
        <v>0.0</v>
      </c>
      <c r="AK181" s="21">
        <v>0.0</v>
      </c>
      <c r="AL181" s="21">
        <v>0.0</v>
      </c>
      <c r="AM181" s="21">
        <v>0.0</v>
      </c>
      <c r="AN181" s="16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39</v>
      </c>
      <c r="F182" s="60"/>
      <c r="G182" s="75" t="s">
        <v>24</v>
      </c>
      <c r="H182" s="60"/>
      <c r="I182" s="40" t="s">
        <v>54</v>
      </c>
      <c r="J182" s="4"/>
      <c r="K182" s="4" t="str">
        <f t="shared" si="29"/>
        <v/>
      </c>
      <c r="L182" s="16" t="str">
        <f t="shared" si="30"/>
        <v/>
      </c>
      <c r="M182" s="4"/>
      <c r="N182" s="16">
        <v>6.0</v>
      </c>
      <c r="O182" s="88" t="s">
        <v>60</v>
      </c>
      <c r="P182" s="16">
        <f t="shared" si="31"/>
        <v>0</v>
      </c>
      <c r="Q182" s="16">
        <f t="shared" si="32"/>
        <v>0</v>
      </c>
      <c r="R182" s="18">
        <f t="shared" si="33"/>
        <v>0</v>
      </c>
      <c r="S182" s="18">
        <f t="shared" si="34"/>
        <v>0</v>
      </c>
      <c r="T182" s="16">
        <f t="shared" si="35"/>
        <v>0</v>
      </c>
      <c r="U182" s="18">
        <f t="shared" si="36"/>
        <v>0</v>
      </c>
      <c r="V182" s="16">
        <f t="shared" si="37"/>
        <v>0</v>
      </c>
      <c r="W182" s="56"/>
      <c r="X182" s="56"/>
      <c r="Y182" s="56"/>
      <c r="Z182" s="56"/>
      <c r="AA182" s="56"/>
      <c r="AB182" s="56"/>
      <c r="AC182" s="56"/>
      <c r="AD182" s="56"/>
      <c r="AE182" s="20">
        <v>6.0</v>
      </c>
      <c r="AF182" s="21" t="s">
        <v>60</v>
      </c>
      <c r="AG182" s="21">
        <v>0.0</v>
      </c>
      <c r="AH182" s="21">
        <v>0.0</v>
      </c>
      <c r="AI182" s="21">
        <v>0.0</v>
      </c>
      <c r="AJ182" s="21">
        <v>0.0</v>
      </c>
      <c r="AK182" s="21">
        <v>0.0</v>
      </c>
      <c r="AL182" s="21">
        <v>0.0</v>
      </c>
      <c r="AM182" s="21">
        <v>0.0</v>
      </c>
      <c r="AN182" s="16"/>
    </row>
    <row r="183" ht="15.75" customHeight="1">
      <c r="A183" s="23"/>
      <c r="B183" s="11">
        <v>45956.0</v>
      </c>
      <c r="C183" s="12" t="s">
        <v>92</v>
      </c>
      <c r="D183" s="59" t="s">
        <v>22</v>
      </c>
      <c r="E183" s="40" t="s">
        <v>93</v>
      </c>
      <c r="F183" s="60"/>
      <c r="G183" s="75" t="s">
        <v>24</v>
      </c>
      <c r="H183" s="60"/>
      <c r="I183" s="40" t="s">
        <v>31</v>
      </c>
      <c r="J183" s="4"/>
      <c r="K183" s="4" t="str">
        <f t="shared" si="29"/>
        <v/>
      </c>
      <c r="L183" s="16" t="str">
        <f t="shared" si="30"/>
        <v/>
      </c>
      <c r="M183" s="4"/>
      <c r="N183" s="16">
        <v>7.0</v>
      </c>
      <c r="O183" s="88" t="s">
        <v>163</v>
      </c>
      <c r="P183" s="16">
        <f t="shared" si="31"/>
        <v>0</v>
      </c>
      <c r="Q183" s="16">
        <f t="shared" si="32"/>
        <v>0</v>
      </c>
      <c r="R183" s="18">
        <f t="shared" si="33"/>
        <v>0</v>
      </c>
      <c r="S183" s="18">
        <f t="shared" si="34"/>
        <v>0</v>
      </c>
      <c r="T183" s="16">
        <f t="shared" si="35"/>
        <v>0</v>
      </c>
      <c r="U183" s="18">
        <f t="shared" si="36"/>
        <v>0</v>
      </c>
      <c r="V183" s="16">
        <f t="shared" si="37"/>
        <v>0</v>
      </c>
      <c r="W183" s="56"/>
      <c r="X183" s="56"/>
      <c r="Y183" s="56"/>
      <c r="Z183" s="56"/>
      <c r="AA183" s="56"/>
      <c r="AB183" s="56"/>
      <c r="AC183" s="56"/>
      <c r="AD183" s="56"/>
      <c r="AE183" s="20">
        <v>7.0</v>
      </c>
      <c r="AF183" s="21" t="s">
        <v>163</v>
      </c>
      <c r="AG183" s="21">
        <v>0.0</v>
      </c>
      <c r="AH183" s="21">
        <v>0.0</v>
      </c>
      <c r="AI183" s="21">
        <v>0.0</v>
      </c>
      <c r="AJ183" s="21">
        <v>0.0</v>
      </c>
      <c r="AK183" s="21">
        <v>0.0</v>
      </c>
      <c r="AL183" s="21">
        <v>0.0</v>
      </c>
      <c r="AM183" s="21">
        <v>0.0</v>
      </c>
      <c r="AN183" s="16"/>
    </row>
    <row r="184" ht="15.75" customHeight="1">
      <c r="A184" s="23"/>
      <c r="B184" s="11">
        <v>45956.0</v>
      </c>
      <c r="C184" s="59" t="s">
        <v>96</v>
      </c>
      <c r="D184" s="59" t="s">
        <v>22</v>
      </c>
      <c r="E184" s="40" t="s">
        <v>43</v>
      </c>
      <c r="F184" s="60"/>
      <c r="G184" s="75" t="s">
        <v>24</v>
      </c>
      <c r="H184" s="60"/>
      <c r="I184" s="40" t="s">
        <v>121</v>
      </c>
      <c r="J184" s="4"/>
      <c r="K184" s="4" t="str">
        <f t="shared" si="29"/>
        <v/>
      </c>
      <c r="L184" s="16" t="str">
        <f t="shared" si="30"/>
        <v/>
      </c>
      <c r="M184" s="4"/>
      <c r="N184" s="16">
        <v>8.0</v>
      </c>
      <c r="O184" s="88" t="s">
        <v>162</v>
      </c>
      <c r="P184" s="16">
        <f t="shared" si="31"/>
        <v>0</v>
      </c>
      <c r="Q184" s="16">
        <f t="shared" si="32"/>
        <v>0</v>
      </c>
      <c r="R184" s="18">
        <f t="shared" si="33"/>
        <v>0</v>
      </c>
      <c r="S184" s="18">
        <f t="shared" si="34"/>
        <v>0</v>
      </c>
      <c r="T184" s="16">
        <f t="shared" si="35"/>
        <v>0</v>
      </c>
      <c r="U184" s="18">
        <f t="shared" si="36"/>
        <v>0</v>
      </c>
      <c r="V184" s="16">
        <f t="shared" si="37"/>
        <v>0</v>
      </c>
      <c r="W184" s="56"/>
      <c r="X184" s="56"/>
      <c r="Y184" s="56"/>
      <c r="Z184" s="56"/>
      <c r="AA184" s="56"/>
      <c r="AB184" s="56"/>
      <c r="AC184" s="56"/>
      <c r="AD184" s="56"/>
      <c r="AE184" s="20">
        <v>8.0</v>
      </c>
      <c r="AF184" s="21" t="s">
        <v>162</v>
      </c>
      <c r="AG184" s="21">
        <v>0.0</v>
      </c>
      <c r="AH184" s="21">
        <v>0.0</v>
      </c>
      <c r="AI184" s="21">
        <v>0.0</v>
      </c>
      <c r="AJ184" s="21">
        <v>0.0</v>
      </c>
      <c r="AK184" s="21">
        <v>0.0</v>
      </c>
      <c r="AL184" s="21">
        <v>0.0</v>
      </c>
      <c r="AM184" s="21">
        <v>0.0</v>
      </c>
      <c r="AN184" s="16"/>
    </row>
    <row r="185" ht="15.75" customHeight="1">
      <c r="A185" s="23"/>
      <c r="B185" s="11">
        <v>45956.0</v>
      </c>
      <c r="C185" s="12" t="s">
        <v>100</v>
      </c>
      <c r="D185" s="59" t="s">
        <v>22</v>
      </c>
      <c r="E185" s="40" t="s">
        <v>162</v>
      </c>
      <c r="F185" s="60"/>
      <c r="G185" s="75" t="s">
        <v>24</v>
      </c>
      <c r="H185" s="60"/>
      <c r="I185" s="40" t="s">
        <v>37</v>
      </c>
      <c r="J185" s="4"/>
      <c r="K185" s="4" t="str">
        <f t="shared" si="29"/>
        <v/>
      </c>
      <c r="L185" s="16" t="str">
        <f t="shared" si="30"/>
        <v/>
      </c>
      <c r="M185" s="4"/>
      <c r="N185" s="16">
        <v>9.0</v>
      </c>
      <c r="O185" s="88" t="s">
        <v>43</v>
      </c>
      <c r="P185" s="16">
        <f t="shared" si="31"/>
        <v>0</v>
      </c>
      <c r="Q185" s="16">
        <f t="shared" si="32"/>
        <v>0</v>
      </c>
      <c r="R185" s="18">
        <f t="shared" si="33"/>
        <v>0</v>
      </c>
      <c r="S185" s="18">
        <f t="shared" si="34"/>
        <v>0</v>
      </c>
      <c r="T185" s="16">
        <f t="shared" si="35"/>
        <v>0</v>
      </c>
      <c r="U185" s="18">
        <f t="shared" si="36"/>
        <v>0</v>
      </c>
      <c r="V185" s="16">
        <f t="shared" si="37"/>
        <v>0</v>
      </c>
      <c r="W185" s="56"/>
      <c r="X185" s="56"/>
      <c r="Y185" s="56"/>
      <c r="Z185" s="56"/>
      <c r="AA185" s="56"/>
      <c r="AB185" s="56"/>
      <c r="AC185" s="56"/>
      <c r="AD185" s="56"/>
      <c r="AE185" s="20">
        <v>9.0</v>
      </c>
      <c r="AF185" s="21" t="s">
        <v>43</v>
      </c>
      <c r="AG185" s="21">
        <v>0.0</v>
      </c>
      <c r="AH185" s="21">
        <v>0.0</v>
      </c>
      <c r="AI185" s="21">
        <v>0.0</v>
      </c>
      <c r="AJ185" s="21">
        <v>0.0</v>
      </c>
      <c r="AK185" s="21">
        <v>0.0</v>
      </c>
      <c r="AL185" s="21">
        <v>0.0</v>
      </c>
      <c r="AM185" s="21">
        <v>0.0</v>
      </c>
      <c r="AN185" s="16"/>
    </row>
    <row r="186" ht="15.75" customHeight="1">
      <c r="A186" s="23"/>
      <c r="B186" s="11">
        <v>45956.0</v>
      </c>
      <c r="C186" s="59" t="s">
        <v>104</v>
      </c>
      <c r="D186" s="59" t="s">
        <v>22</v>
      </c>
      <c r="E186" s="40" t="s">
        <v>163</v>
      </c>
      <c r="F186" s="60"/>
      <c r="G186" s="75" t="s">
        <v>24</v>
      </c>
      <c r="H186" s="60"/>
      <c r="I186" s="40" t="s">
        <v>60</v>
      </c>
      <c r="J186" s="4"/>
      <c r="K186" s="4" t="str">
        <f t="shared" si="29"/>
        <v/>
      </c>
      <c r="L186" s="16" t="str">
        <f t="shared" si="30"/>
        <v/>
      </c>
      <c r="M186" s="4"/>
      <c r="N186" s="16">
        <v>10.0</v>
      </c>
      <c r="O186" s="88" t="s">
        <v>93</v>
      </c>
      <c r="P186" s="16">
        <f t="shared" si="31"/>
        <v>0</v>
      </c>
      <c r="Q186" s="16">
        <f t="shared" si="32"/>
        <v>0</v>
      </c>
      <c r="R186" s="18">
        <f t="shared" si="33"/>
        <v>0</v>
      </c>
      <c r="S186" s="18">
        <f t="shared" si="34"/>
        <v>0</v>
      </c>
      <c r="T186" s="16">
        <f t="shared" si="35"/>
        <v>0</v>
      </c>
      <c r="U186" s="18">
        <f t="shared" si="36"/>
        <v>0</v>
      </c>
      <c r="V186" s="16">
        <f t="shared" si="37"/>
        <v>0</v>
      </c>
      <c r="W186" s="56"/>
      <c r="X186" s="56"/>
      <c r="Y186" s="56"/>
      <c r="Z186" s="56"/>
      <c r="AA186" s="56"/>
      <c r="AB186" s="56"/>
      <c r="AC186" s="56"/>
      <c r="AD186" s="56"/>
      <c r="AE186" s="20">
        <v>10.0</v>
      </c>
      <c r="AF186" s="21" t="s">
        <v>93</v>
      </c>
      <c r="AG186" s="21">
        <v>0.0</v>
      </c>
      <c r="AH186" s="21">
        <v>0.0</v>
      </c>
      <c r="AI186" s="21">
        <v>0.0</v>
      </c>
      <c r="AJ186" s="21">
        <v>0.0</v>
      </c>
      <c r="AK186" s="21">
        <v>0.0</v>
      </c>
      <c r="AL186" s="21">
        <v>0.0</v>
      </c>
      <c r="AM186" s="21">
        <v>0.0</v>
      </c>
      <c r="AN186" s="16"/>
    </row>
    <row r="187" ht="15.75" customHeight="1">
      <c r="A187" s="10">
        <v>3.0</v>
      </c>
      <c r="B187" s="93"/>
      <c r="C187" s="75"/>
      <c r="D187" s="75"/>
      <c r="E187" s="40" t="s">
        <v>121</v>
      </c>
      <c r="F187" s="60"/>
      <c r="G187" s="75" t="s">
        <v>24</v>
      </c>
      <c r="H187" s="60"/>
      <c r="I187" s="40" t="s">
        <v>39</v>
      </c>
      <c r="J187" s="4"/>
      <c r="K187" s="4" t="str">
        <f t="shared" si="29"/>
        <v/>
      </c>
      <c r="L187" s="16" t="str">
        <f t="shared" si="30"/>
        <v/>
      </c>
      <c r="M187" s="4"/>
      <c r="N187" s="4"/>
      <c r="O187" s="4"/>
      <c r="P187" s="16"/>
      <c r="Q187" s="16"/>
      <c r="R187" s="18"/>
      <c r="S187" s="18"/>
      <c r="T187" s="16"/>
      <c r="U187" s="18"/>
      <c r="V187" s="16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6"/>
      <c r="AI187" s="16"/>
      <c r="AJ187" s="16"/>
      <c r="AK187" s="16"/>
      <c r="AL187" s="16"/>
      <c r="AM187" s="16"/>
      <c r="AN187" s="4"/>
    </row>
    <row r="188" ht="15.75" customHeight="1">
      <c r="A188" s="23"/>
      <c r="B188" s="93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6" t="str">
        <f t="shared" si="30"/>
        <v/>
      </c>
      <c r="M188" s="4"/>
      <c r="N188" s="4"/>
      <c r="O188" s="4"/>
      <c r="P188" s="16"/>
      <c r="Q188" s="16"/>
      <c r="R188" s="18"/>
      <c r="S188" s="18"/>
      <c r="T188" s="16"/>
      <c r="U188" s="18"/>
      <c r="V188" s="16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6"/>
      <c r="AI188" s="16"/>
      <c r="AJ188" s="16"/>
      <c r="AK188" s="16"/>
      <c r="AL188" s="16"/>
      <c r="AM188" s="16"/>
      <c r="AN188" s="4"/>
    </row>
    <row r="189" ht="15.75" customHeight="1">
      <c r="A189" s="23"/>
      <c r="B189" s="93"/>
      <c r="C189" s="75"/>
      <c r="D189" s="75"/>
      <c r="E189" s="40" t="s">
        <v>37</v>
      </c>
      <c r="F189" s="60"/>
      <c r="G189" s="75" t="s">
        <v>24</v>
      </c>
      <c r="H189" s="60"/>
      <c r="I189" s="40" t="s">
        <v>43</v>
      </c>
      <c r="J189" s="4"/>
      <c r="K189" s="4" t="str">
        <f t="shared" si="29"/>
        <v/>
      </c>
      <c r="L189" s="16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3"/>
      <c r="B190" s="93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6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3"/>
      <c r="B191" s="93"/>
      <c r="C191" s="75"/>
      <c r="D191" s="75"/>
      <c r="E191" s="40" t="s">
        <v>93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6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3"/>
      <c r="C192" s="60"/>
      <c r="D192" s="75"/>
      <c r="E192" s="40" t="s">
        <v>39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6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3"/>
      <c r="B193" s="93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6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3"/>
      <c r="B194" s="93"/>
      <c r="C194" s="75"/>
      <c r="D194" s="75"/>
      <c r="E194" s="40" t="s">
        <v>54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6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3"/>
      <c r="B195" s="93"/>
      <c r="C195" s="60"/>
      <c r="D195" s="75"/>
      <c r="E195" s="40" t="s">
        <v>43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6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3"/>
      <c r="B196" s="93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6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3"/>
      <c r="C197" s="75"/>
      <c r="D197" s="75"/>
      <c r="E197" s="40" t="s">
        <v>60</v>
      </c>
      <c r="F197" s="60"/>
      <c r="G197" s="75" t="s">
        <v>24</v>
      </c>
      <c r="H197" s="60"/>
      <c r="I197" s="40" t="s">
        <v>39</v>
      </c>
      <c r="J197" s="4"/>
      <c r="K197" s="4" t="str">
        <f t="shared" si="29"/>
        <v/>
      </c>
      <c r="L197" s="16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3"/>
      <c r="B198" s="93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6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3"/>
      <c r="B199" s="93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6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3"/>
      <c r="B200" s="93"/>
      <c r="C200" s="75"/>
      <c r="D200" s="75"/>
      <c r="E200" s="40" t="s">
        <v>163</v>
      </c>
      <c r="F200" s="60"/>
      <c r="G200" s="75" t="s">
        <v>24</v>
      </c>
      <c r="H200" s="60"/>
      <c r="I200" s="40" t="s">
        <v>43</v>
      </c>
      <c r="J200" s="4"/>
      <c r="K200" s="4" t="str">
        <f t="shared" si="29"/>
        <v/>
      </c>
      <c r="L200" s="16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3"/>
      <c r="B201" s="93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6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3"/>
      <c r="C202" s="75"/>
      <c r="D202" s="75"/>
      <c r="E202" s="40" t="s">
        <v>39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6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3"/>
      <c r="B203" s="93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6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3"/>
      <c r="B204" s="93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6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3"/>
      <c r="B205" s="93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6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3"/>
      <c r="B206" s="93"/>
      <c r="C206" s="75"/>
      <c r="D206" s="75"/>
      <c r="E206" s="40" t="s">
        <v>43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6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3"/>
      <c r="C207" s="75"/>
      <c r="D207" s="75"/>
      <c r="E207" s="40" t="s">
        <v>162</v>
      </c>
      <c r="F207" s="60"/>
      <c r="G207" s="75" t="s">
        <v>24</v>
      </c>
      <c r="H207" s="60"/>
      <c r="I207" s="40" t="s">
        <v>39</v>
      </c>
      <c r="J207" s="4"/>
      <c r="K207" s="4" t="str">
        <f t="shared" si="29"/>
        <v/>
      </c>
      <c r="L207" s="16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3"/>
      <c r="B208" s="93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6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3"/>
      <c r="B209" s="93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6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3"/>
      <c r="B210" s="93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6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3"/>
      <c r="B211" s="93"/>
      <c r="C211" s="75"/>
      <c r="D211" s="75"/>
      <c r="E211" s="40" t="s">
        <v>93</v>
      </c>
      <c r="F211" s="60"/>
      <c r="G211" s="75" t="s">
        <v>24</v>
      </c>
      <c r="H211" s="60"/>
      <c r="I211" s="40" t="s">
        <v>43</v>
      </c>
      <c r="J211" s="4"/>
      <c r="K211" s="4" t="str">
        <f t="shared" si="29"/>
        <v/>
      </c>
      <c r="L211" s="16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3"/>
      <c r="C212" s="75"/>
      <c r="D212" s="75"/>
      <c r="E212" s="40" t="s">
        <v>39</v>
      </c>
      <c r="F212" s="60"/>
      <c r="G212" s="75" t="s">
        <v>24</v>
      </c>
      <c r="H212" s="60"/>
      <c r="I212" s="40" t="s">
        <v>43</v>
      </c>
      <c r="J212" s="4"/>
      <c r="K212" s="4" t="str">
        <f t="shared" si="29"/>
        <v/>
      </c>
      <c r="L212" s="16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3"/>
      <c r="B213" s="93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6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3"/>
      <c r="B214" s="93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6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3"/>
      <c r="B215" s="93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6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3"/>
      <c r="B216" s="93"/>
      <c r="C216" s="75"/>
      <c r="D216" s="75"/>
      <c r="E216" s="40" t="s">
        <v>37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6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3"/>
      <c r="C217" s="75"/>
      <c r="D217" s="75"/>
      <c r="E217" s="40" t="s">
        <v>93</v>
      </c>
      <c r="F217" s="60"/>
      <c r="G217" s="75" t="s">
        <v>24</v>
      </c>
      <c r="H217" s="60"/>
      <c r="I217" s="40" t="s">
        <v>39</v>
      </c>
      <c r="J217" s="56"/>
      <c r="K217" s="4" t="str">
        <f t="shared" si="29"/>
        <v/>
      </c>
      <c r="L217" s="16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3"/>
      <c r="B218" s="93"/>
      <c r="C218" s="75"/>
      <c r="D218" s="75"/>
      <c r="E218" s="40" t="s">
        <v>43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6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3"/>
      <c r="B219" s="93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6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3"/>
      <c r="B220" s="93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6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3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6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5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5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5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5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3"/>
      <c r="B238" s="39"/>
      <c r="C238" s="12"/>
      <c r="D238" s="12"/>
      <c r="E238" s="40" t="s">
        <v>71</v>
      </c>
      <c r="F238" s="30"/>
      <c r="G238" s="15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3"/>
      <c r="B239" s="39"/>
      <c r="C239" s="12"/>
      <c r="D239" s="12"/>
      <c r="E239" s="40" t="s">
        <v>73</v>
      </c>
      <c r="F239" s="30"/>
      <c r="G239" s="15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5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5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3"/>
      <c r="B242" s="42"/>
      <c r="C242" s="30"/>
      <c r="D242" s="12"/>
      <c r="E242" s="43" t="s">
        <v>80</v>
      </c>
      <c r="F242" s="13"/>
      <c r="G242" s="15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5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5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6" t="str">
        <f t="shared" ref="L3:L62" si="2">IF(H3="","",IFS(F3&lt;H3,2,F3=H3,1,H3&lt;F3,0))</f>
        <v/>
      </c>
      <c r="M3" s="4"/>
      <c r="N3" s="16">
        <v>1.0</v>
      </c>
      <c r="O3" s="61" t="s">
        <v>32</v>
      </c>
      <c r="P3" s="16">
        <f t="shared" ref="P3:P17" si="3">SUMIF(E$3:E$62,O3,K$3:K$62)+SUMIF(I$3:I$62,O3,L$3:L$62)</f>
        <v>0</v>
      </c>
      <c r="Q3" s="16">
        <f t="shared" ref="Q3:Q17" si="4">COUNTIFS(E$3:E$62,O3,K$3:K$62,2)+COUNTIFS(I$3:I$62,O3,L$3:L$62,2)</f>
        <v>0</v>
      </c>
      <c r="R3" s="16">
        <f t="shared" ref="R3:R17" si="5">COUNTIFS(E$3:E$62,O3,K$3:K$62,1)+COUNTIFS(I$3:I$62,O3,L$3:L$62,1)</f>
        <v>0</v>
      </c>
      <c r="S3" s="18">
        <f t="shared" ref="S3:S17" si="6">COUNTIFS(E$3:E$62,O3,K$3:K$62,0)+COUNTIFS(I$3:I$62,O3,L$3:L$62,0)</f>
        <v>0</v>
      </c>
      <c r="T3" s="16">
        <f t="shared" ref="T3:T17" si="7">SUMIF(E$3:E$62,O3,F$3:F$62)+SUMIF(I$3:I$62,O3,H$3:H$62)</f>
        <v>0</v>
      </c>
      <c r="U3" s="18">
        <f t="shared" ref="U3:U17" si="8">SUMIF(E$3:E$62,O3,H$3:H$62)+SUMIF(I$3:I$62,O3,F$3:F$62)</f>
        <v>0</v>
      </c>
      <c r="V3" s="16">
        <f t="shared" ref="V3:V17" si="9">T3-U3</f>
        <v>0</v>
      </c>
      <c r="W3" s="56"/>
      <c r="X3" s="56"/>
      <c r="Y3" s="20" t="s">
        <v>29</v>
      </c>
      <c r="Z3" s="63" t="str">
        <f t="array" ref="Z3:AG17">SORT(O3:V17,2,FALSE,8,FALSE,8,FALSE())</f>
        <v>Eng. Materiais</v>
      </c>
      <c r="AA3" s="21">
        <v>0.0</v>
      </c>
      <c r="AB3" s="21">
        <v>0.0</v>
      </c>
      <c r="AC3" s="21">
        <v>0.0</v>
      </c>
      <c r="AD3" s="22">
        <v>0.0</v>
      </c>
      <c r="AE3" s="21">
        <v>0.0</v>
      </c>
      <c r="AF3" s="22">
        <v>0.0</v>
      </c>
      <c r="AG3" s="21">
        <v>0.0</v>
      </c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</row>
    <row r="4" ht="15.75" customHeight="1">
      <c r="A4" s="23"/>
      <c r="B4" s="39">
        <v>45946.0</v>
      </c>
      <c r="C4" s="12" t="s">
        <v>96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31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0" t="s">
        <v>34</v>
      </c>
      <c r="Z4" s="63" t="s">
        <v>31</v>
      </c>
      <c r="AA4" s="21">
        <v>0.0</v>
      </c>
      <c r="AB4" s="21">
        <v>0.0</v>
      </c>
      <c r="AC4" s="21">
        <v>0.0</v>
      </c>
      <c r="AD4" s="22">
        <v>0.0</v>
      </c>
      <c r="AE4" s="21">
        <v>0.0</v>
      </c>
      <c r="AF4" s="22">
        <v>0.0</v>
      </c>
      <c r="AG4" s="21">
        <v>0.0</v>
      </c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</row>
    <row r="5" ht="15.75" customHeight="1">
      <c r="A5" s="23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42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61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0" t="s">
        <v>38</v>
      </c>
      <c r="Z5" s="63" t="s">
        <v>61</v>
      </c>
      <c r="AA5" s="21">
        <v>0.0</v>
      </c>
      <c r="AB5" s="21">
        <v>0.0</v>
      </c>
      <c r="AC5" s="21">
        <v>0.0</v>
      </c>
      <c r="AD5" s="22">
        <v>0.0</v>
      </c>
      <c r="AE5" s="21">
        <v>0.0</v>
      </c>
      <c r="AF5" s="22">
        <v>0.0</v>
      </c>
      <c r="AG5" s="21">
        <v>0.0</v>
      </c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</row>
    <row r="6" ht="15.75" customHeight="1">
      <c r="A6" s="23"/>
      <c r="B6" s="39">
        <v>45946.0</v>
      </c>
      <c r="C6" s="12" t="s">
        <v>104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171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48" t="s">
        <v>41</v>
      </c>
      <c r="Z6" s="63" t="s">
        <v>171</v>
      </c>
      <c r="AA6" s="21">
        <v>0.0</v>
      </c>
      <c r="AB6" s="21">
        <v>0.0</v>
      </c>
      <c r="AC6" s="21">
        <v>0.0</v>
      </c>
      <c r="AD6" s="22">
        <v>0.0</v>
      </c>
      <c r="AE6" s="21">
        <v>0.0</v>
      </c>
      <c r="AF6" s="22">
        <v>0.0</v>
      </c>
      <c r="AG6" s="21">
        <v>0.0</v>
      </c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</row>
    <row r="7" ht="15.75" customHeight="1">
      <c r="A7" s="23"/>
      <c r="B7" s="39">
        <v>45950.0</v>
      </c>
      <c r="C7" s="12" t="s">
        <v>172</v>
      </c>
      <c r="D7" s="12" t="s">
        <v>133</v>
      </c>
      <c r="E7" s="40" t="s">
        <v>112</v>
      </c>
      <c r="F7" s="26"/>
      <c r="G7" s="75" t="s">
        <v>24</v>
      </c>
      <c r="H7" s="26"/>
      <c r="I7" s="40" t="s">
        <v>173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23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48" t="s">
        <v>44</v>
      </c>
      <c r="Z7" s="63" t="s">
        <v>23</v>
      </c>
      <c r="AA7" s="21">
        <v>0.0</v>
      </c>
      <c r="AB7" s="21">
        <v>0.0</v>
      </c>
      <c r="AC7" s="21">
        <v>0.0</v>
      </c>
      <c r="AD7" s="22">
        <v>0.0</v>
      </c>
      <c r="AE7" s="21">
        <v>0.0</v>
      </c>
      <c r="AF7" s="22">
        <v>0.0</v>
      </c>
      <c r="AG7" s="21">
        <v>0.0</v>
      </c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</row>
    <row r="8" ht="15.75" customHeight="1">
      <c r="A8" s="23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48" t="s">
        <v>47</v>
      </c>
      <c r="Z8" s="63" t="s">
        <v>25</v>
      </c>
      <c r="AA8" s="21">
        <v>0.0</v>
      </c>
      <c r="AB8" s="21">
        <v>0.0</v>
      </c>
      <c r="AC8" s="21">
        <v>0.0</v>
      </c>
      <c r="AD8" s="22">
        <v>0.0</v>
      </c>
      <c r="AE8" s="21">
        <v>0.0</v>
      </c>
      <c r="AF8" s="22">
        <v>0.0</v>
      </c>
      <c r="AG8" s="21">
        <v>0.0</v>
      </c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111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42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48" t="s">
        <v>48</v>
      </c>
      <c r="Z9" s="63" t="s">
        <v>42</v>
      </c>
      <c r="AA9" s="21">
        <v>0.0</v>
      </c>
      <c r="AB9" s="21">
        <v>0.0</v>
      </c>
      <c r="AC9" s="21">
        <v>0.0</v>
      </c>
      <c r="AD9" s="22">
        <v>0.0</v>
      </c>
      <c r="AE9" s="21">
        <v>0.0</v>
      </c>
      <c r="AF9" s="22">
        <v>0.0</v>
      </c>
      <c r="AG9" s="21">
        <v>0.0</v>
      </c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33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48" t="s">
        <v>135</v>
      </c>
      <c r="Z10" s="63" t="s">
        <v>33</v>
      </c>
      <c r="AA10" s="21">
        <v>0.0</v>
      </c>
      <c r="AB10" s="21">
        <v>0.0</v>
      </c>
      <c r="AC10" s="21">
        <v>0.0</v>
      </c>
      <c r="AD10" s="22">
        <v>0.0</v>
      </c>
      <c r="AE10" s="21">
        <v>0.0</v>
      </c>
      <c r="AF10" s="22">
        <v>0.0</v>
      </c>
      <c r="AG10" s="21">
        <v>0.0</v>
      </c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</row>
    <row r="11" ht="15.75" customHeight="1">
      <c r="A11" s="23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111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112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20">
        <v>9.0</v>
      </c>
      <c r="Z11" s="63" t="s">
        <v>112</v>
      </c>
      <c r="AA11" s="21">
        <v>0.0</v>
      </c>
      <c r="AB11" s="21">
        <v>0.0</v>
      </c>
      <c r="AC11" s="21">
        <v>0.0</v>
      </c>
      <c r="AD11" s="22">
        <v>0.0</v>
      </c>
      <c r="AE11" s="21">
        <v>0.0</v>
      </c>
      <c r="AF11" s="22">
        <v>0.0</v>
      </c>
      <c r="AG11" s="21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3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112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175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0">
        <v>10.0</v>
      </c>
      <c r="Z12" s="63" t="s">
        <v>175</v>
      </c>
      <c r="AA12" s="21">
        <v>0.0</v>
      </c>
      <c r="AB12" s="21">
        <v>0.0</v>
      </c>
      <c r="AC12" s="21">
        <v>0.0</v>
      </c>
      <c r="AD12" s="22">
        <v>0.0</v>
      </c>
      <c r="AE12" s="21">
        <v>0.0</v>
      </c>
      <c r="AF12" s="22">
        <v>0.0</v>
      </c>
      <c r="AG12" s="21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3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57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20">
        <v>11.0</v>
      </c>
      <c r="Z13" s="63" t="s">
        <v>57</v>
      </c>
      <c r="AA13" s="21">
        <v>0.0</v>
      </c>
      <c r="AB13" s="21">
        <v>0.0</v>
      </c>
      <c r="AC13" s="21">
        <v>0.0</v>
      </c>
      <c r="AD13" s="22">
        <v>0.0</v>
      </c>
      <c r="AE13" s="21">
        <v>0.0</v>
      </c>
      <c r="AF13" s="22">
        <v>0.0</v>
      </c>
      <c r="AG13" s="21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3"/>
      <c r="B14" s="79"/>
      <c r="C14" s="75"/>
      <c r="D14" s="75"/>
      <c r="E14" s="40" t="s">
        <v>23</v>
      </c>
      <c r="F14" s="26"/>
      <c r="G14" s="75" t="s">
        <v>24</v>
      </c>
      <c r="H14" s="26"/>
      <c r="I14" s="40" t="s">
        <v>173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59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20">
        <v>12.0</v>
      </c>
      <c r="Z14" s="63" t="s">
        <v>59</v>
      </c>
      <c r="AA14" s="21">
        <v>0.0</v>
      </c>
      <c r="AB14" s="21">
        <v>0.0</v>
      </c>
      <c r="AC14" s="21">
        <v>0.0</v>
      </c>
      <c r="AD14" s="22">
        <v>0.0</v>
      </c>
      <c r="AE14" s="21">
        <v>0.0</v>
      </c>
      <c r="AF14" s="22">
        <v>0.0</v>
      </c>
      <c r="AG14" s="21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3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111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20">
        <v>13.0</v>
      </c>
      <c r="Z15" s="63" t="s">
        <v>111</v>
      </c>
      <c r="AA15" s="21">
        <v>0.0</v>
      </c>
      <c r="AB15" s="21">
        <v>0.0</v>
      </c>
      <c r="AC15" s="21">
        <v>0.0</v>
      </c>
      <c r="AD15" s="22">
        <v>0.0</v>
      </c>
      <c r="AE15" s="21">
        <v>0.0</v>
      </c>
      <c r="AF15" s="22">
        <v>0.0</v>
      </c>
      <c r="AG15" s="21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42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162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20">
        <v>14.0</v>
      </c>
      <c r="Z16" s="63" t="s">
        <v>162</v>
      </c>
      <c r="AA16" s="21">
        <v>0.0</v>
      </c>
      <c r="AB16" s="21">
        <v>0.0</v>
      </c>
      <c r="AC16" s="21">
        <v>0.0</v>
      </c>
      <c r="AD16" s="22">
        <v>0.0</v>
      </c>
      <c r="AE16" s="21">
        <v>0.0</v>
      </c>
      <c r="AF16" s="22">
        <v>0.0</v>
      </c>
      <c r="AG16" s="21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6" t="str">
        <f t="shared" si="2"/>
        <v/>
      </c>
      <c r="M17" s="4"/>
      <c r="N17" s="88">
        <v>15.0</v>
      </c>
      <c r="O17" s="88" t="s">
        <v>36</v>
      </c>
      <c r="P17" s="16">
        <f t="shared" si="3"/>
        <v>0</v>
      </c>
      <c r="Q17" s="16">
        <f t="shared" si="4"/>
        <v>0</v>
      </c>
      <c r="R17" s="16">
        <f t="shared" si="5"/>
        <v>0</v>
      </c>
      <c r="S17" s="18">
        <f t="shared" si="6"/>
        <v>0</v>
      </c>
      <c r="T17" s="16">
        <f t="shared" si="7"/>
        <v>0</v>
      </c>
      <c r="U17" s="18">
        <f t="shared" si="8"/>
        <v>0</v>
      </c>
      <c r="V17" s="16">
        <f t="shared" si="9"/>
        <v>0</v>
      </c>
      <c r="W17" s="56"/>
      <c r="X17" s="56"/>
      <c r="Y17" s="48">
        <v>15.0</v>
      </c>
      <c r="Z17" s="63" t="s">
        <v>36</v>
      </c>
      <c r="AA17" s="21">
        <v>0.0</v>
      </c>
      <c r="AB17" s="21">
        <v>0.0</v>
      </c>
      <c r="AC17" s="21">
        <v>0.0</v>
      </c>
      <c r="AD17" s="22">
        <v>0.0</v>
      </c>
      <c r="AE17" s="21">
        <v>0.0</v>
      </c>
      <c r="AF17" s="22">
        <v>0.0</v>
      </c>
      <c r="AG17" s="21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3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3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3"/>
      <c r="B20" s="79"/>
      <c r="C20" s="75"/>
      <c r="D20" s="75"/>
      <c r="E20" s="40" t="s">
        <v>112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3"/>
      <c r="B21" s="79"/>
      <c r="C21" s="75"/>
      <c r="D21" s="75"/>
      <c r="E21" s="40" t="s">
        <v>33</v>
      </c>
      <c r="F21" s="26"/>
      <c r="G21" s="75" t="s">
        <v>24</v>
      </c>
      <c r="H21" s="26"/>
      <c r="I21" s="40" t="s">
        <v>23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3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111</v>
      </c>
      <c r="F23" s="75"/>
      <c r="G23" s="75" t="s">
        <v>24</v>
      </c>
      <c r="H23" s="75"/>
      <c r="I23" s="40" t="s">
        <v>42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3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3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111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3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112</v>
      </c>
      <c r="F28" s="26"/>
      <c r="G28" s="75" t="s">
        <v>24</v>
      </c>
      <c r="H28" s="26"/>
      <c r="I28" s="40" t="s">
        <v>25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3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3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112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3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42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3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111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6"/>
      <c r="G35" s="75" t="s">
        <v>24</v>
      </c>
      <c r="H35" s="26"/>
      <c r="I35" s="40" t="s">
        <v>162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111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3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3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3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6"/>
      <c r="G42" s="75" t="s">
        <v>24</v>
      </c>
      <c r="H42" s="26"/>
      <c r="I42" s="40" t="s">
        <v>42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3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42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3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3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3"/>
      <c r="B47" s="79"/>
      <c r="C47" s="75"/>
      <c r="D47" s="75"/>
      <c r="E47" s="40" t="s">
        <v>112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3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6"/>
      <c r="G49" s="75" t="s">
        <v>24</v>
      </c>
      <c r="H49" s="26"/>
      <c r="I49" s="40" t="s">
        <v>59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3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3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3"/>
      <c r="B53" s="79"/>
      <c r="C53" s="75"/>
      <c r="D53" s="75"/>
      <c r="E53" s="40" t="s">
        <v>111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3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42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3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6"/>
      <c r="G56" s="75" t="s">
        <v>24</v>
      </c>
      <c r="H56" s="26"/>
      <c r="I56" s="40" t="s">
        <v>112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3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3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111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3"/>
      <c r="B60" s="79"/>
      <c r="C60" s="75"/>
      <c r="D60" s="75"/>
      <c r="E60" s="40" t="s">
        <v>42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3"/>
      <c r="B61" s="79"/>
      <c r="C61" s="75"/>
      <c r="D61" s="75"/>
      <c r="E61" s="40" t="s">
        <v>112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5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3"/>
      <c r="B70" s="39"/>
      <c r="C70" s="12"/>
      <c r="D70" s="12"/>
      <c r="E70" s="40" t="s">
        <v>71</v>
      </c>
      <c r="F70" s="30"/>
      <c r="G70" s="15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3"/>
      <c r="B71" s="39"/>
      <c r="C71" s="12"/>
      <c r="D71" s="12"/>
      <c r="E71" s="40" t="s">
        <v>73</v>
      </c>
      <c r="F71" s="30"/>
      <c r="G71" s="15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5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5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3"/>
      <c r="B74" s="42"/>
      <c r="C74" s="30"/>
      <c r="D74" s="12"/>
      <c r="E74" s="43" t="s">
        <v>80</v>
      </c>
      <c r="F74" s="13"/>
      <c r="G74" s="15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5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5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6" t="s">
        <v>11</v>
      </c>
      <c r="O2" s="16" t="s">
        <v>12</v>
      </c>
      <c r="P2" s="16" t="s">
        <v>13</v>
      </c>
      <c r="Q2" s="16" t="s">
        <v>14</v>
      </c>
      <c r="R2" s="16" t="s">
        <v>15</v>
      </c>
      <c r="S2" s="16" t="s">
        <v>16</v>
      </c>
      <c r="T2" s="16" t="s">
        <v>17</v>
      </c>
      <c r="U2" s="16" t="s">
        <v>18</v>
      </c>
      <c r="V2" s="16" t="s">
        <v>19</v>
      </c>
      <c r="W2" s="2"/>
      <c r="X2" s="10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180</v>
      </c>
      <c r="E3" s="40" t="s">
        <v>113</v>
      </c>
      <c r="F3" s="14"/>
      <c r="G3" s="75" t="s">
        <v>24</v>
      </c>
      <c r="H3" s="103"/>
      <c r="I3" s="40" t="s">
        <v>54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113</v>
      </c>
      <c r="P3" s="104">
        <f t="shared" ref="P3:P14" si="3">SUMIF(E$3:E$68,O3,K$3:K$68)+SUMIF(I$3:I$68,O3,L$3:L$68)</f>
        <v>0</v>
      </c>
      <c r="Q3" s="104">
        <f t="shared" ref="Q3:Q14" si="4">COUNTIFS(E$3:E$68,O3,K$3:K$68,3)+COUNTIFS(I$3:I$68,O3,L$3:L$68,3)</f>
        <v>0</v>
      </c>
      <c r="R3" s="104">
        <f t="shared" ref="R3:R14" si="5">COUNTIFS(E$3:E$68,O3,K$3:K$68,1)+COUNTIFS(I$3:I$68,O3,L$3:L$68,1)</f>
        <v>0</v>
      </c>
      <c r="S3" s="105">
        <f t="shared" ref="S3:S14" si="6">COUNTIFS(E$3:E$68,O3,K$3:K$68,0)+COUNTIFS(I$3:I$68,O3,L$3:L$68,0)</f>
        <v>0</v>
      </c>
      <c r="T3" s="104">
        <f t="shared" ref="T3:T14" si="7">SUMIF(E$3:E$68,O3,F$3:F$68)+SUMIF(I$3:I$68,O3,H$3:H$68)</f>
        <v>0</v>
      </c>
      <c r="U3" s="105">
        <f t="shared" ref="U3:U14" si="8">SUMIF(E$3:E$68,O3,H$3:H$68)+SUMIF(I$3:I$68,O3,F$3:F$68)</f>
        <v>0</v>
      </c>
      <c r="V3" s="104">
        <f t="shared" ref="V3:V14" si="9">T3-U3</f>
        <v>0</v>
      </c>
      <c r="W3" s="2"/>
      <c r="X3" s="106" t="s">
        <v>26</v>
      </c>
      <c r="Y3" s="106" t="s">
        <v>13</v>
      </c>
      <c r="Z3" s="2"/>
      <c r="AA3" s="20" t="s">
        <v>29</v>
      </c>
      <c r="AB3" s="26" t="str">
        <f t="array" ref="AB3:AI14">SORT(O3:V14,2,FALSE,9,FALSE,8,FALSE())</f>
        <v>GPT</v>
      </c>
      <c r="AC3" s="26">
        <v>0.0</v>
      </c>
      <c r="AD3" s="26">
        <v>0.0</v>
      </c>
      <c r="AE3" s="26">
        <v>0.0</v>
      </c>
      <c r="AF3" s="26">
        <v>0.0</v>
      </c>
      <c r="AG3" s="26">
        <v>0.0</v>
      </c>
      <c r="AH3" s="26">
        <v>0.0</v>
      </c>
      <c r="AI3" s="26">
        <v>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3"/>
      <c r="B4" s="11">
        <v>45951.0</v>
      </c>
      <c r="C4" s="12" t="s">
        <v>100</v>
      </c>
      <c r="D4" s="12" t="s">
        <v>180</v>
      </c>
      <c r="E4" s="40" t="s">
        <v>39</v>
      </c>
      <c r="F4" s="75"/>
      <c r="G4" s="75" t="s">
        <v>24</v>
      </c>
      <c r="H4" s="107"/>
      <c r="I4" s="40" t="s">
        <v>59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33</v>
      </c>
      <c r="P4" s="104">
        <f t="shared" si="3"/>
        <v>0</v>
      </c>
      <c r="Q4" s="104">
        <f t="shared" si="4"/>
        <v>0</v>
      </c>
      <c r="R4" s="104">
        <f t="shared" si="5"/>
        <v>0</v>
      </c>
      <c r="S4" s="105">
        <f t="shared" si="6"/>
        <v>0</v>
      </c>
      <c r="T4" s="104">
        <f t="shared" si="7"/>
        <v>0</v>
      </c>
      <c r="U4" s="105">
        <f t="shared" si="8"/>
        <v>0</v>
      </c>
      <c r="V4" s="104">
        <f t="shared" si="9"/>
        <v>0</v>
      </c>
      <c r="W4" s="2"/>
      <c r="X4" s="108" t="s">
        <v>25</v>
      </c>
      <c r="Y4" s="108">
        <v>3.0</v>
      </c>
      <c r="Z4" s="2"/>
      <c r="AA4" s="20" t="s">
        <v>34</v>
      </c>
      <c r="AB4" s="26" t="s">
        <v>33</v>
      </c>
      <c r="AC4" s="26">
        <v>0.0</v>
      </c>
      <c r="AD4" s="26">
        <v>0.0</v>
      </c>
      <c r="AE4" s="26">
        <v>0.0</v>
      </c>
      <c r="AF4" s="26">
        <v>0.0</v>
      </c>
      <c r="AG4" s="26">
        <v>0.0</v>
      </c>
      <c r="AH4" s="26">
        <v>0.0</v>
      </c>
      <c r="AI4" s="26">
        <v>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3"/>
      <c r="B5" s="96">
        <v>45950.0</v>
      </c>
      <c r="C5" s="12" t="s">
        <v>104</v>
      </c>
      <c r="D5" s="12" t="s">
        <v>180</v>
      </c>
      <c r="E5" s="40" t="s">
        <v>23</v>
      </c>
      <c r="F5" s="75"/>
      <c r="G5" s="75" t="s">
        <v>24</v>
      </c>
      <c r="H5" s="107"/>
      <c r="I5" s="40" t="s">
        <v>37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54</v>
      </c>
      <c r="P5" s="104">
        <f t="shared" si="3"/>
        <v>0</v>
      </c>
      <c r="Q5" s="104">
        <f t="shared" si="4"/>
        <v>0</v>
      </c>
      <c r="R5" s="104">
        <f t="shared" si="5"/>
        <v>0</v>
      </c>
      <c r="S5" s="105">
        <f t="shared" si="6"/>
        <v>0</v>
      </c>
      <c r="T5" s="104">
        <f t="shared" si="7"/>
        <v>0</v>
      </c>
      <c r="U5" s="105">
        <f t="shared" si="8"/>
        <v>0</v>
      </c>
      <c r="V5" s="104">
        <f t="shared" si="9"/>
        <v>0</v>
      </c>
      <c r="W5" s="2"/>
      <c r="X5" s="108" t="s">
        <v>143</v>
      </c>
      <c r="Y5" s="108">
        <v>0.0</v>
      </c>
      <c r="Z5" s="2"/>
      <c r="AA5" s="20" t="s">
        <v>38</v>
      </c>
      <c r="AB5" s="26" t="s">
        <v>54</v>
      </c>
      <c r="AC5" s="26">
        <v>0.0</v>
      </c>
      <c r="AD5" s="26">
        <v>0.0</v>
      </c>
      <c r="AE5" s="26">
        <v>0.0</v>
      </c>
      <c r="AF5" s="26">
        <v>0.0</v>
      </c>
      <c r="AG5" s="26">
        <v>0.0</v>
      </c>
      <c r="AH5" s="26">
        <v>0.0</v>
      </c>
      <c r="AI5" s="26">
        <v>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3"/>
      <c r="B6" s="11">
        <v>45952.0</v>
      </c>
      <c r="C6" s="12" t="s">
        <v>100</v>
      </c>
      <c r="D6" s="12" t="s">
        <v>180</v>
      </c>
      <c r="E6" s="40" t="s">
        <v>25</v>
      </c>
      <c r="F6" s="75"/>
      <c r="G6" s="75" t="s">
        <v>24</v>
      </c>
      <c r="H6" s="107"/>
      <c r="I6" s="40" t="s">
        <v>36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61</v>
      </c>
      <c r="P6" s="104">
        <f t="shared" si="3"/>
        <v>0</v>
      </c>
      <c r="Q6" s="104">
        <f t="shared" si="4"/>
        <v>0</v>
      </c>
      <c r="R6" s="104">
        <f t="shared" si="5"/>
        <v>0</v>
      </c>
      <c r="S6" s="105">
        <f t="shared" si="6"/>
        <v>0</v>
      </c>
      <c r="T6" s="104">
        <f t="shared" si="7"/>
        <v>0</v>
      </c>
      <c r="U6" s="105">
        <f t="shared" si="8"/>
        <v>0</v>
      </c>
      <c r="V6" s="104">
        <f t="shared" si="9"/>
        <v>0</v>
      </c>
      <c r="W6" s="2"/>
      <c r="X6" s="2"/>
      <c r="Y6" s="2"/>
      <c r="Z6" s="2"/>
      <c r="AA6" s="20" t="s">
        <v>41</v>
      </c>
      <c r="AB6" s="26" t="s">
        <v>61</v>
      </c>
      <c r="AC6" s="26">
        <v>0.0</v>
      </c>
      <c r="AD6" s="26">
        <v>0.0</v>
      </c>
      <c r="AE6" s="26">
        <v>0.0</v>
      </c>
      <c r="AF6" s="26">
        <v>0.0</v>
      </c>
      <c r="AG6" s="26">
        <v>0.0</v>
      </c>
      <c r="AH6" s="26">
        <v>0.0</v>
      </c>
      <c r="AI6" s="26">
        <v>0.0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3"/>
      <c r="B7" s="11">
        <v>45951.0</v>
      </c>
      <c r="C7" s="12" t="s">
        <v>104</v>
      </c>
      <c r="D7" s="12" t="s">
        <v>180</v>
      </c>
      <c r="E7" s="40" t="s">
        <v>61</v>
      </c>
      <c r="F7" s="75"/>
      <c r="G7" s="75" t="s">
        <v>24</v>
      </c>
      <c r="H7" s="107"/>
      <c r="I7" s="40" t="s">
        <v>143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59</v>
      </c>
      <c r="P7" s="104">
        <f t="shared" si="3"/>
        <v>0</v>
      </c>
      <c r="Q7" s="104">
        <f t="shared" si="4"/>
        <v>0</v>
      </c>
      <c r="R7" s="104">
        <f t="shared" si="5"/>
        <v>0</v>
      </c>
      <c r="S7" s="105">
        <f t="shared" si="6"/>
        <v>0</v>
      </c>
      <c r="T7" s="104">
        <f t="shared" si="7"/>
        <v>0</v>
      </c>
      <c r="U7" s="105">
        <f t="shared" si="8"/>
        <v>0</v>
      </c>
      <c r="V7" s="104">
        <f t="shared" si="9"/>
        <v>0</v>
      </c>
      <c r="W7" s="2"/>
      <c r="X7" s="2"/>
      <c r="Y7" s="2"/>
      <c r="Z7" s="2"/>
      <c r="AA7" s="20" t="s">
        <v>44</v>
      </c>
      <c r="AB7" s="26" t="s">
        <v>59</v>
      </c>
      <c r="AC7" s="26">
        <v>0.0</v>
      </c>
      <c r="AD7" s="26">
        <v>0.0</v>
      </c>
      <c r="AE7" s="26">
        <v>0.0</v>
      </c>
      <c r="AF7" s="26">
        <v>0.0</v>
      </c>
      <c r="AG7" s="26">
        <v>0.0</v>
      </c>
      <c r="AH7" s="26">
        <v>0.0</v>
      </c>
      <c r="AI7" s="26">
        <v>0.0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104</v>
      </c>
      <c r="D8" s="12" t="s">
        <v>180</v>
      </c>
      <c r="E8" s="40" t="s">
        <v>111</v>
      </c>
      <c r="F8" s="15"/>
      <c r="G8" s="75" t="s">
        <v>24</v>
      </c>
      <c r="H8" s="75"/>
      <c r="I8" s="40" t="s">
        <v>33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04">
        <f t="shared" si="3"/>
        <v>0</v>
      </c>
      <c r="Q8" s="104">
        <f t="shared" si="4"/>
        <v>0</v>
      </c>
      <c r="R8" s="104">
        <f t="shared" si="5"/>
        <v>0</v>
      </c>
      <c r="S8" s="105">
        <f t="shared" si="6"/>
        <v>0</v>
      </c>
      <c r="T8" s="104">
        <f t="shared" si="7"/>
        <v>0</v>
      </c>
      <c r="U8" s="105">
        <f t="shared" si="8"/>
        <v>0</v>
      </c>
      <c r="V8" s="104">
        <f t="shared" si="9"/>
        <v>0</v>
      </c>
      <c r="W8" s="2"/>
      <c r="X8" s="2"/>
      <c r="Y8" s="2"/>
      <c r="Z8" s="2"/>
      <c r="AA8" s="20" t="s">
        <v>47</v>
      </c>
      <c r="AB8" s="26" t="s">
        <v>25</v>
      </c>
      <c r="AC8" s="26">
        <v>0.0</v>
      </c>
      <c r="AD8" s="26">
        <v>0.0</v>
      </c>
      <c r="AE8" s="26">
        <v>0.0</v>
      </c>
      <c r="AF8" s="26">
        <v>0.0</v>
      </c>
      <c r="AG8" s="26">
        <v>0.0</v>
      </c>
      <c r="AH8" s="26">
        <v>0.0</v>
      </c>
      <c r="AI8" s="26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5"/>
      <c r="G9" s="75" t="s">
        <v>24</v>
      </c>
      <c r="H9" s="107"/>
      <c r="I9" s="40" t="s">
        <v>111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37</v>
      </c>
      <c r="P9" s="104">
        <f t="shared" si="3"/>
        <v>0</v>
      </c>
      <c r="Q9" s="104">
        <f t="shared" si="4"/>
        <v>0</v>
      </c>
      <c r="R9" s="104">
        <f t="shared" si="5"/>
        <v>0</v>
      </c>
      <c r="S9" s="105">
        <f t="shared" si="6"/>
        <v>0</v>
      </c>
      <c r="T9" s="104">
        <f t="shared" si="7"/>
        <v>0</v>
      </c>
      <c r="U9" s="105">
        <f t="shared" si="8"/>
        <v>0</v>
      </c>
      <c r="V9" s="104">
        <f t="shared" si="9"/>
        <v>0</v>
      </c>
      <c r="W9" s="2"/>
      <c r="X9" s="2"/>
      <c r="Y9" s="2"/>
      <c r="Z9" s="2"/>
      <c r="AA9" s="20">
        <v>7.0</v>
      </c>
      <c r="AB9" s="26" t="s">
        <v>37</v>
      </c>
      <c r="AC9" s="26">
        <v>0.0</v>
      </c>
      <c r="AD9" s="26">
        <v>0.0</v>
      </c>
      <c r="AE9" s="26">
        <v>0.0</v>
      </c>
      <c r="AF9" s="26">
        <v>0.0</v>
      </c>
      <c r="AG9" s="26">
        <v>0.0</v>
      </c>
      <c r="AH9" s="26">
        <v>0.0</v>
      </c>
      <c r="AI9" s="26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3"/>
      <c r="B10" s="42"/>
      <c r="C10" s="30"/>
      <c r="D10" s="30"/>
      <c r="E10" s="40" t="s">
        <v>59</v>
      </c>
      <c r="F10" s="15"/>
      <c r="G10" s="75" t="s">
        <v>24</v>
      </c>
      <c r="H10" s="107"/>
      <c r="I10" s="40" t="s">
        <v>113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23</v>
      </c>
      <c r="P10" s="104">
        <f t="shared" si="3"/>
        <v>0</v>
      </c>
      <c r="Q10" s="104">
        <f t="shared" si="4"/>
        <v>0</v>
      </c>
      <c r="R10" s="104">
        <f t="shared" si="5"/>
        <v>0</v>
      </c>
      <c r="S10" s="105">
        <f t="shared" si="6"/>
        <v>0</v>
      </c>
      <c r="T10" s="104">
        <f t="shared" si="7"/>
        <v>0</v>
      </c>
      <c r="U10" s="105">
        <f t="shared" si="8"/>
        <v>0</v>
      </c>
      <c r="V10" s="104">
        <f t="shared" si="9"/>
        <v>0</v>
      </c>
      <c r="W10" s="2"/>
      <c r="X10" s="2"/>
      <c r="Y10" s="2"/>
      <c r="Z10" s="2"/>
      <c r="AA10" s="20">
        <v>8.0</v>
      </c>
      <c r="AB10" s="26" t="s">
        <v>23</v>
      </c>
      <c r="AC10" s="26">
        <v>0.0</v>
      </c>
      <c r="AD10" s="26">
        <v>0.0</v>
      </c>
      <c r="AE10" s="26">
        <v>0.0</v>
      </c>
      <c r="AF10" s="26">
        <v>0.0</v>
      </c>
      <c r="AG10" s="26">
        <v>0.0</v>
      </c>
      <c r="AH10" s="26">
        <v>0.0</v>
      </c>
      <c r="AI10" s="26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3"/>
      <c r="B11" s="42"/>
      <c r="C11" s="30"/>
      <c r="D11" s="30"/>
      <c r="E11" s="40" t="s">
        <v>37</v>
      </c>
      <c r="F11" s="15"/>
      <c r="G11" s="75" t="s">
        <v>24</v>
      </c>
      <c r="H11" s="107"/>
      <c r="I11" s="40" t="s">
        <v>39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36</v>
      </c>
      <c r="P11" s="104">
        <f t="shared" si="3"/>
        <v>0</v>
      </c>
      <c r="Q11" s="104">
        <f t="shared" si="4"/>
        <v>0</v>
      </c>
      <c r="R11" s="104">
        <f t="shared" si="5"/>
        <v>0</v>
      </c>
      <c r="S11" s="105">
        <f t="shared" si="6"/>
        <v>0</v>
      </c>
      <c r="T11" s="104">
        <f t="shared" si="7"/>
        <v>0</v>
      </c>
      <c r="U11" s="105">
        <f t="shared" si="8"/>
        <v>0</v>
      </c>
      <c r="V11" s="104">
        <f t="shared" si="9"/>
        <v>0</v>
      </c>
      <c r="W11" s="2"/>
      <c r="X11" s="2"/>
      <c r="Y11" s="2"/>
      <c r="Z11" s="2"/>
      <c r="AA11" s="95" t="s">
        <v>103</v>
      </c>
      <c r="AB11" s="26" t="s">
        <v>36</v>
      </c>
      <c r="AC11" s="26">
        <v>0.0</v>
      </c>
      <c r="AD11" s="26">
        <v>0.0</v>
      </c>
      <c r="AE11" s="26">
        <v>0.0</v>
      </c>
      <c r="AF11" s="26">
        <v>0.0</v>
      </c>
      <c r="AG11" s="26">
        <v>0.0</v>
      </c>
      <c r="AH11" s="26">
        <v>0.0</v>
      </c>
      <c r="AI11" s="26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42"/>
      <c r="C12" s="15"/>
      <c r="D12" s="30"/>
      <c r="E12" s="40" t="s">
        <v>36</v>
      </c>
      <c r="F12" s="75"/>
      <c r="G12" s="75" t="s">
        <v>24</v>
      </c>
      <c r="H12" s="107"/>
      <c r="I12" s="40" t="s">
        <v>23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39</v>
      </c>
      <c r="P12" s="104">
        <f t="shared" si="3"/>
        <v>0</v>
      </c>
      <c r="Q12" s="104">
        <f t="shared" si="4"/>
        <v>0</v>
      </c>
      <c r="R12" s="104">
        <f t="shared" si="5"/>
        <v>0</v>
      </c>
      <c r="S12" s="105">
        <f t="shared" si="6"/>
        <v>0</v>
      </c>
      <c r="T12" s="104">
        <f t="shared" si="7"/>
        <v>0</v>
      </c>
      <c r="U12" s="105">
        <f t="shared" si="8"/>
        <v>0</v>
      </c>
      <c r="V12" s="104">
        <f t="shared" si="9"/>
        <v>0</v>
      </c>
      <c r="W12" s="2"/>
      <c r="X12" s="2"/>
      <c r="Y12" s="2"/>
      <c r="Z12" s="2"/>
      <c r="AA12" s="69">
        <v>10.0</v>
      </c>
      <c r="AB12" s="26" t="s">
        <v>39</v>
      </c>
      <c r="AC12" s="26">
        <v>0.0</v>
      </c>
      <c r="AD12" s="26">
        <v>0.0</v>
      </c>
      <c r="AE12" s="26">
        <v>0.0</v>
      </c>
      <c r="AF12" s="26">
        <v>0.0</v>
      </c>
      <c r="AG12" s="26">
        <v>0.0</v>
      </c>
      <c r="AH12" s="26">
        <v>0.0</v>
      </c>
      <c r="AI12" s="26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29"/>
      <c r="C13" s="30"/>
      <c r="D13" s="30"/>
      <c r="E13" s="40" t="s">
        <v>143</v>
      </c>
      <c r="F13" s="75"/>
      <c r="G13" s="75" t="s">
        <v>24</v>
      </c>
      <c r="H13" s="107"/>
      <c r="I13" s="40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90" t="s">
        <v>143</v>
      </c>
      <c r="P13" s="104">
        <f t="shared" si="3"/>
        <v>0</v>
      </c>
      <c r="Q13" s="104">
        <f t="shared" si="4"/>
        <v>0</v>
      </c>
      <c r="R13" s="104">
        <f t="shared" si="5"/>
        <v>0</v>
      </c>
      <c r="S13" s="105">
        <f t="shared" si="6"/>
        <v>0</v>
      </c>
      <c r="T13" s="104">
        <f t="shared" si="7"/>
        <v>0</v>
      </c>
      <c r="U13" s="105">
        <f t="shared" si="8"/>
        <v>0</v>
      </c>
      <c r="V13" s="104">
        <f t="shared" si="9"/>
        <v>0</v>
      </c>
      <c r="W13" s="2"/>
      <c r="X13" s="2"/>
      <c r="Y13" s="2"/>
      <c r="Z13" s="2"/>
      <c r="AA13" s="69">
        <v>11.0</v>
      </c>
      <c r="AB13" s="26" t="s">
        <v>143</v>
      </c>
      <c r="AC13" s="26">
        <v>0.0</v>
      </c>
      <c r="AD13" s="26">
        <v>0.0</v>
      </c>
      <c r="AE13" s="26">
        <v>0.0</v>
      </c>
      <c r="AF13" s="26">
        <v>0.0</v>
      </c>
      <c r="AG13" s="26">
        <v>0.0</v>
      </c>
      <c r="AH13" s="26">
        <v>0.0</v>
      </c>
      <c r="AI13" s="26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7"/>
      <c r="I14" s="40" t="s">
        <v>61</v>
      </c>
      <c r="J14" s="4"/>
      <c r="K14" s="4" t="str">
        <f t="shared" si="1"/>
        <v/>
      </c>
      <c r="L14" s="16" t="str">
        <f t="shared" si="2"/>
        <v/>
      </c>
      <c r="M14" s="4"/>
      <c r="N14" s="4">
        <v>12.0</v>
      </c>
      <c r="O14" s="90" t="s">
        <v>111</v>
      </c>
      <c r="P14" s="104">
        <f t="shared" si="3"/>
        <v>0</v>
      </c>
      <c r="Q14" s="104">
        <f t="shared" si="4"/>
        <v>0</v>
      </c>
      <c r="R14" s="104">
        <f t="shared" si="5"/>
        <v>0</v>
      </c>
      <c r="S14" s="105">
        <f t="shared" si="6"/>
        <v>0</v>
      </c>
      <c r="T14" s="104">
        <f t="shared" si="7"/>
        <v>0</v>
      </c>
      <c r="U14" s="105">
        <f t="shared" si="8"/>
        <v>0</v>
      </c>
      <c r="V14" s="104">
        <f t="shared" si="9"/>
        <v>0</v>
      </c>
      <c r="W14" s="2"/>
      <c r="X14" s="2"/>
      <c r="Y14" s="2"/>
      <c r="Z14" s="2"/>
      <c r="AA14" s="69">
        <v>12.0</v>
      </c>
      <c r="AB14" s="26" t="s">
        <v>111</v>
      </c>
      <c r="AC14" s="26">
        <v>0.0</v>
      </c>
      <c r="AD14" s="26">
        <v>0.0</v>
      </c>
      <c r="AE14" s="26">
        <v>0.0</v>
      </c>
      <c r="AF14" s="26">
        <v>0.0</v>
      </c>
      <c r="AG14" s="26">
        <v>0.0</v>
      </c>
      <c r="AH14" s="26">
        <v>0.0</v>
      </c>
      <c r="AI14" s="26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7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3"/>
      <c r="B16" s="29"/>
      <c r="C16" s="30"/>
      <c r="D16" s="30"/>
      <c r="E16" s="40" t="s">
        <v>113</v>
      </c>
      <c r="F16" s="75"/>
      <c r="G16" s="75" t="s">
        <v>24</v>
      </c>
      <c r="H16" s="107"/>
      <c r="I16" s="40" t="s">
        <v>37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3"/>
      <c r="B17" s="29"/>
      <c r="C17" s="30"/>
      <c r="D17" s="30"/>
      <c r="E17" s="40" t="s">
        <v>39</v>
      </c>
      <c r="F17" s="75"/>
      <c r="G17" s="75" t="s">
        <v>24</v>
      </c>
      <c r="H17" s="107"/>
      <c r="I17" s="40" t="s">
        <v>36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3"/>
      <c r="B18" s="29"/>
      <c r="C18" s="30"/>
      <c r="D18" s="30"/>
      <c r="E18" s="40" t="s">
        <v>23</v>
      </c>
      <c r="F18" s="75"/>
      <c r="G18" s="75" t="s">
        <v>24</v>
      </c>
      <c r="H18" s="107"/>
      <c r="I18" s="40" t="s">
        <v>143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3"/>
      <c r="B19" s="42"/>
      <c r="C19" s="30"/>
      <c r="D19" s="30"/>
      <c r="E19" s="40" t="s">
        <v>25</v>
      </c>
      <c r="F19" s="75"/>
      <c r="G19" s="75" t="s">
        <v>24</v>
      </c>
      <c r="H19" s="107"/>
      <c r="I19" s="40" t="s">
        <v>33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5"/>
      <c r="D20" s="30"/>
      <c r="E20" s="40" t="s">
        <v>111</v>
      </c>
      <c r="F20" s="75"/>
      <c r="G20" s="75" t="s">
        <v>24</v>
      </c>
      <c r="H20" s="107"/>
      <c r="I20" s="40" t="s">
        <v>61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7"/>
      <c r="I21" s="40" t="s">
        <v>111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3"/>
      <c r="B22" s="42"/>
      <c r="C22" s="30"/>
      <c r="D22" s="30"/>
      <c r="E22" s="40" t="s">
        <v>37</v>
      </c>
      <c r="F22" s="75"/>
      <c r="G22" s="75" t="s">
        <v>24</v>
      </c>
      <c r="H22" s="107"/>
      <c r="I22" s="40" t="s">
        <v>54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42"/>
      <c r="C23" s="30"/>
      <c r="D23" s="30"/>
      <c r="E23" s="40" t="s">
        <v>36</v>
      </c>
      <c r="F23" s="75"/>
      <c r="G23" s="75" t="s">
        <v>24</v>
      </c>
      <c r="H23" s="107"/>
      <c r="I23" s="40" t="s">
        <v>113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3"/>
      <c r="B24" s="50"/>
      <c r="C24" s="15"/>
      <c r="D24" s="30"/>
      <c r="E24" s="40" t="s">
        <v>143</v>
      </c>
      <c r="F24" s="75"/>
      <c r="G24" s="75" t="s">
        <v>24</v>
      </c>
      <c r="H24" s="107"/>
      <c r="I24" s="40" t="s">
        <v>39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42"/>
      <c r="C25" s="30"/>
      <c r="D25" s="30"/>
      <c r="E25" s="40" t="s">
        <v>33</v>
      </c>
      <c r="F25" s="75"/>
      <c r="G25" s="75" t="s">
        <v>24</v>
      </c>
      <c r="H25" s="107"/>
      <c r="I25" s="40" t="s">
        <v>23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7"/>
      <c r="I26" s="40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09"/>
      <c r="E27" s="40" t="s">
        <v>59</v>
      </c>
      <c r="F27" s="75"/>
      <c r="G27" s="75" t="s">
        <v>24</v>
      </c>
      <c r="H27" s="107"/>
      <c r="I27" s="40" t="s">
        <v>37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42"/>
      <c r="C28" s="15"/>
      <c r="D28" s="109"/>
      <c r="E28" s="40" t="s">
        <v>54</v>
      </c>
      <c r="F28" s="75"/>
      <c r="G28" s="75" t="s">
        <v>24</v>
      </c>
      <c r="H28" s="107"/>
      <c r="I28" s="40" t="s">
        <v>36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42"/>
      <c r="C29" s="30"/>
      <c r="D29" s="109"/>
      <c r="E29" s="40" t="s">
        <v>113</v>
      </c>
      <c r="F29" s="75"/>
      <c r="G29" s="75" t="s">
        <v>24</v>
      </c>
      <c r="H29" s="107"/>
      <c r="I29" s="40" t="s">
        <v>143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42"/>
      <c r="C30" s="30"/>
      <c r="D30" s="109"/>
      <c r="E30" s="40" t="s">
        <v>39</v>
      </c>
      <c r="F30" s="75"/>
      <c r="G30" s="75" t="s">
        <v>24</v>
      </c>
      <c r="H30" s="107"/>
      <c r="I30" s="40" t="s">
        <v>33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3"/>
      <c r="B31" s="42"/>
      <c r="C31" s="15"/>
      <c r="D31" s="109"/>
      <c r="E31" s="40" t="s">
        <v>23</v>
      </c>
      <c r="F31" s="75"/>
      <c r="G31" s="75" t="s">
        <v>24</v>
      </c>
      <c r="H31" s="107"/>
      <c r="I31" s="40" t="s">
        <v>61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09"/>
      <c r="E32" s="40" t="s">
        <v>111</v>
      </c>
      <c r="F32" s="75"/>
      <c r="G32" s="75" t="s">
        <v>24</v>
      </c>
      <c r="H32" s="107"/>
      <c r="I32" s="40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7"/>
      <c r="I33" s="40" t="s">
        <v>111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42"/>
      <c r="C34" s="30"/>
      <c r="D34" s="30"/>
      <c r="E34" s="40" t="s">
        <v>36</v>
      </c>
      <c r="F34" s="75"/>
      <c r="G34" s="75" t="s">
        <v>24</v>
      </c>
      <c r="H34" s="107"/>
      <c r="I34" s="40" t="s">
        <v>59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42"/>
      <c r="C35" s="30"/>
      <c r="D35" s="30"/>
      <c r="E35" s="40" t="s">
        <v>143</v>
      </c>
      <c r="F35" s="75"/>
      <c r="G35" s="75" t="s">
        <v>24</v>
      </c>
      <c r="H35" s="107"/>
      <c r="I35" s="40" t="s">
        <v>54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42"/>
      <c r="C36" s="15"/>
      <c r="D36" s="30"/>
      <c r="E36" s="40" t="s">
        <v>33</v>
      </c>
      <c r="F36" s="75"/>
      <c r="G36" s="75" t="s">
        <v>24</v>
      </c>
      <c r="H36" s="107"/>
      <c r="I36" s="40" t="s">
        <v>113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42"/>
      <c r="C37" s="30"/>
      <c r="D37" s="30"/>
      <c r="E37" s="40" t="s">
        <v>61</v>
      </c>
      <c r="F37" s="75"/>
      <c r="G37" s="75" t="s">
        <v>24</v>
      </c>
      <c r="H37" s="107"/>
      <c r="I37" s="40" t="s">
        <v>39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7"/>
      <c r="I38" s="40" t="s">
        <v>23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09"/>
      <c r="E39" s="40" t="s">
        <v>37</v>
      </c>
      <c r="F39" s="75"/>
      <c r="G39" s="75" t="s">
        <v>24</v>
      </c>
      <c r="H39" s="107"/>
      <c r="I39" s="40" t="s">
        <v>36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42"/>
      <c r="C40" s="30"/>
      <c r="D40" s="109"/>
      <c r="E40" s="40" t="s">
        <v>59</v>
      </c>
      <c r="F40" s="75"/>
      <c r="G40" s="75" t="s">
        <v>24</v>
      </c>
      <c r="H40" s="107"/>
      <c r="I40" s="40" t="s">
        <v>143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42"/>
      <c r="C41" s="30"/>
      <c r="D41" s="109"/>
      <c r="E41" s="40" t="s">
        <v>54</v>
      </c>
      <c r="F41" s="75"/>
      <c r="G41" s="75" t="s">
        <v>24</v>
      </c>
      <c r="H41" s="107"/>
      <c r="I41" s="40" t="s">
        <v>33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42"/>
      <c r="C42" s="15"/>
      <c r="D42" s="109"/>
      <c r="E42" s="40" t="s">
        <v>113</v>
      </c>
      <c r="F42" s="75"/>
      <c r="G42" s="75" t="s">
        <v>24</v>
      </c>
      <c r="H42" s="107"/>
      <c r="I42" s="40" t="s">
        <v>61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42"/>
      <c r="C43" s="30"/>
      <c r="D43" s="109"/>
      <c r="E43" s="40" t="s">
        <v>39</v>
      </c>
      <c r="F43" s="75"/>
      <c r="G43" s="75" t="s">
        <v>24</v>
      </c>
      <c r="H43" s="107"/>
      <c r="I43" s="40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09"/>
      <c r="E44" s="40" t="s">
        <v>111</v>
      </c>
      <c r="F44" s="75"/>
      <c r="G44" s="75" t="s">
        <v>24</v>
      </c>
      <c r="H44" s="107"/>
      <c r="I44" s="40" t="s">
        <v>23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7"/>
      <c r="I45" s="40" t="s">
        <v>111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42"/>
      <c r="C46" s="30"/>
      <c r="D46" s="30"/>
      <c r="E46" s="40" t="s">
        <v>143</v>
      </c>
      <c r="F46" s="75"/>
      <c r="G46" s="75" t="s">
        <v>24</v>
      </c>
      <c r="H46" s="107"/>
      <c r="I46" s="40" t="s">
        <v>37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42"/>
      <c r="C47" s="30"/>
      <c r="D47" s="30"/>
      <c r="E47" s="40" t="s">
        <v>33</v>
      </c>
      <c r="F47" s="75"/>
      <c r="G47" s="75" t="s">
        <v>24</v>
      </c>
      <c r="H47" s="107"/>
      <c r="I47" s="40" t="s">
        <v>59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42"/>
      <c r="C48" s="30"/>
      <c r="D48" s="30"/>
      <c r="E48" s="40" t="s">
        <v>61</v>
      </c>
      <c r="F48" s="75"/>
      <c r="G48" s="75" t="s">
        <v>24</v>
      </c>
      <c r="H48" s="107"/>
      <c r="I48" s="40" t="s">
        <v>54</v>
      </c>
      <c r="J48" s="36"/>
      <c r="K48" s="4" t="str">
        <f t="shared" si="1"/>
        <v/>
      </c>
      <c r="L48" s="16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42"/>
      <c r="C49" s="30"/>
      <c r="D49" s="30"/>
      <c r="E49" s="40" t="s">
        <v>25</v>
      </c>
      <c r="F49" s="75"/>
      <c r="G49" s="75" t="s">
        <v>24</v>
      </c>
      <c r="H49" s="107"/>
      <c r="I49" s="40" t="s">
        <v>113</v>
      </c>
      <c r="J49" s="36"/>
      <c r="K49" s="4" t="str">
        <f t="shared" si="1"/>
        <v/>
      </c>
      <c r="L49" s="16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7"/>
      <c r="I50" s="40" t="s">
        <v>39</v>
      </c>
      <c r="J50" s="36"/>
      <c r="K50" s="4" t="str">
        <f t="shared" si="1"/>
        <v/>
      </c>
      <c r="L50" s="16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5"/>
      <c r="D51" s="109"/>
      <c r="E51" s="40" t="s">
        <v>36</v>
      </c>
      <c r="F51" s="75"/>
      <c r="G51" s="75" t="s">
        <v>24</v>
      </c>
      <c r="H51" s="107"/>
      <c r="I51" s="40" t="s">
        <v>143</v>
      </c>
      <c r="J51" s="36"/>
      <c r="K51" s="4" t="str">
        <f t="shared" si="1"/>
        <v/>
      </c>
      <c r="L51" s="16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3"/>
      <c r="B52" s="42"/>
      <c r="C52" s="15"/>
      <c r="D52" s="109"/>
      <c r="E52" s="40" t="s">
        <v>37</v>
      </c>
      <c r="F52" s="75"/>
      <c r="G52" s="75" t="s">
        <v>24</v>
      </c>
      <c r="H52" s="107"/>
      <c r="I52" s="40" t="s">
        <v>33</v>
      </c>
      <c r="J52" s="36"/>
      <c r="K52" s="4" t="str">
        <f t="shared" si="1"/>
        <v/>
      </c>
      <c r="L52" s="16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3"/>
      <c r="B53" s="42"/>
      <c r="C53" s="30"/>
      <c r="D53" s="109"/>
      <c r="E53" s="40" t="s">
        <v>59</v>
      </c>
      <c r="F53" s="75"/>
      <c r="G53" s="75" t="s">
        <v>24</v>
      </c>
      <c r="H53" s="107"/>
      <c r="I53" s="40" t="s">
        <v>61</v>
      </c>
      <c r="J53" s="36"/>
      <c r="K53" s="4" t="str">
        <f t="shared" si="1"/>
        <v/>
      </c>
      <c r="L53" s="16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3"/>
      <c r="B54" s="42"/>
      <c r="C54" s="30"/>
      <c r="D54" s="109"/>
      <c r="E54" s="40" t="s">
        <v>54</v>
      </c>
      <c r="F54" s="75"/>
      <c r="G54" s="75" t="s">
        <v>24</v>
      </c>
      <c r="H54" s="107"/>
      <c r="I54" s="40" t="s">
        <v>25</v>
      </c>
      <c r="J54" s="2"/>
      <c r="K54" s="4" t="str">
        <f t="shared" si="1"/>
        <v/>
      </c>
      <c r="L54" s="16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3"/>
      <c r="B55" s="42"/>
      <c r="C55" s="30"/>
      <c r="D55" s="109"/>
      <c r="E55" s="40" t="s">
        <v>113</v>
      </c>
      <c r="F55" s="75"/>
      <c r="G55" s="75" t="s">
        <v>24</v>
      </c>
      <c r="H55" s="107"/>
      <c r="I55" s="40" t="s">
        <v>23</v>
      </c>
      <c r="J55" s="2"/>
      <c r="K55" s="4" t="str">
        <f t="shared" si="1"/>
        <v/>
      </c>
      <c r="L55" s="16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5"/>
      <c r="D56" s="109"/>
      <c r="E56" s="40" t="s">
        <v>111</v>
      </c>
      <c r="F56" s="75"/>
      <c r="G56" s="75" t="s">
        <v>24</v>
      </c>
      <c r="H56" s="107"/>
      <c r="I56" s="40" t="s">
        <v>39</v>
      </c>
      <c r="J56" s="2"/>
      <c r="K56" s="4" t="str">
        <f t="shared" si="1"/>
        <v/>
      </c>
      <c r="L56" s="16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09"/>
      <c r="E57" s="40" t="s">
        <v>111</v>
      </c>
      <c r="F57" s="30"/>
      <c r="G57" s="75" t="s">
        <v>24</v>
      </c>
      <c r="H57" s="107"/>
      <c r="I57" s="40" t="s">
        <v>143</v>
      </c>
      <c r="J57" s="2"/>
      <c r="K57" s="4" t="str">
        <f t="shared" si="1"/>
        <v/>
      </c>
      <c r="L57" s="16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3"/>
      <c r="B58" s="42"/>
      <c r="C58" s="30"/>
      <c r="D58" s="109"/>
      <c r="E58" s="40" t="s">
        <v>33</v>
      </c>
      <c r="F58" s="15"/>
      <c r="G58" s="75" t="s">
        <v>24</v>
      </c>
      <c r="H58" s="107"/>
      <c r="I58" s="40" t="s">
        <v>36</v>
      </c>
      <c r="J58" s="2"/>
      <c r="K58" s="4" t="str">
        <f t="shared" si="1"/>
        <v/>
      </c>
      <c r="L58" s="16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3"/>
      <c r="B59" s="42"/>
      <c r="C59" s="30"/>
      <c r="D59" s="109"/>
      <c r="E59" s="40" t="s">
        <v>61</v>
      </c>
      <c r="F59" s="30"/>
      <c r="G59" s="75" t="s">
        <v>24</v>
      </c>
      <c r="H59" s="107"/>
      <c r="I59" s="40" t="s">
        <v>37</v>
      </c>
      <c r="J59" s="2"/>
      <c r="K59" s="4" t="str">
        <f t="shared" si="1"/>
        <v/>
      </c>
      <c r="L59" s="16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3"/>
      <c r="B60" s="42"/>
      <c r="C60" s="30"/>
      <c r="D60" s="109"/>
      <c r="E60" s="40" t="s">
        <v>25</v>
      </c>
      <c r="F60" s="30"/>
      <c r="G60" s="75" t="s">
        <v>24</v>
      </c>
      <c r="H60" s="107"/>
      <c r="I60" s="40" t="s">
        <v>59</v>
      </c>
      <c r="J60" s="2"/>
      <c r="K60" s="4" t="str">
        <f t="shared" si="1"/>
        <v/>
      </c>
      <c r="L60" s="16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3"/>
      <c r="B61" s="42"/>
      <c r="C61" s="30"/>
      <c r="D61" s="109"/>
      <c r="E61" s="40" t="s">
        <v>23</v>
      </c>
      <c r="F61" s="30"/>
      <c r="G61" s="75" t="s">
        <v>24</v>
      </c>
      <c r="H61" s="107"/>
      <c r="I61" s="40" t="s">
        <v>54</v>
      </c>
      <c r="J61" s="2"/>
      <c r="K61" s="4" t="str">
        <f t="shared" si="1"/>
        <v/>
      </c>
      <c r="L61" s="16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09"/>
      <c r="E62" s="40" t="s">
        <v>39</v>
      </c>
      <c r="F62" s="30"/>
      <c r="G62" s="75" t="s">
        <v>24</v>
      </c>
      <c r="H62" s="107"/>
      <c r="I62" s="40" t="s">
        <v>113</v>
      </c>
      <c r="J62" s="2"/>
      <c r="K62" s="4" t="str">
        <f t="shared" si="1"/>
        <v/>
      </c>
      <c r="L62" s="16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7"/>
      <c r="I63" s="40" t="s">
        <v>33</v>
      </c>
      <c r="J63" s="2"/>
      <c r="K63" s="4" t="str">
        <f t="shared" si="1"/>
        <v/>
      </c>
      <c r="L63" s="16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3"/>
      <c r="B64" s="50"/>
      <c r="C64" s="30"/>
      <c r="D64" s="30"/>
      <c r="E64" s="40" t="s">
        <v>36</v>
      </c>
      <c r="F64" s="75"/>
      <c r="G64" s="75" t="s">
        <v>24</v>
      </c>
      <c r="H64" s="107"/>
      <c r="I64" s="40" t="s">
        <v>61</v>
      </c>
      <c r="J64" s="2"/>
      <c r="K64" s="4" t="str">
        <f t="shared" si="1"/>
        <v/>
      </c>
      <c r="L64" s="16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3"/>
      <c r="B65" s="42"/>
      <c r="C65" s="30"/>
      <c r="D65" s="30"/>
      <c r="E65" s="40" t="s">
        <v>37</v>
      </c>
      <c r="F65" s="75"/>
      <c r="G65" s="75" t="s">
        <v>24</v>
      </c>
      <c r="H65" s="107"/>
      <c r="I65" s="40" t="s">
        <v>25</v>
      </c>
      <c r="J65" s="2"/>
      <c r="K65" s="4" t="str">
        <f t="shared" si="1"/>
        <v/>
      </c>
      <c r="L65" s="16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3"/>
      <c r="B66" s="42"/>
      <c r="C66" s="30"/>
      <c r="D66" s="30"/>
      <c r="E66" s="40" t="s">
        <v>59</v>
      </c>
      <c r="F66" s="75"/>
      <c r="G66" s="75" t="s">
        <v>24</v>
      </c>
      <c r="H66" s="107"/>
      <c r="I66" s="40" t="s">
        <v>23</v>
      </c>
      <c r="J66" s="2"/>
      <c r="K66" s="4" t="str">
        <f t="shared" si="1"/>
        <v/>
      </c>
      <c r="L66" s="16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3"/>
      <c r="B67" s="42"/>
      <c r="C67" s="30"/>
      <c r="D67" s="30"/>
      <c r="E67" s="40" t="s">
        <v>54</v>
      </c>
      <c r="F67" s="75"/>
      <c r="G67" s="75" t="s">
        <v>24</v>
      </c>
      <c r="H67" s="107"/>
      <c r="I67" s="40" t="s">
        <v>39</v>
      </c>
      <c r="J67" s="2"/>
      <c r="K67" s="4" t="str">
        <f t="shared" si="1"/>
        <v/>
      </c>
      <c r="L67" s="16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113</v>
      </c>
      <c r="F68" s="14"/>
      <c r="G68" s="75" t="s">
        <v>24</v>
      </c>
      <c r="H68" s="103"/>
      <c r="I68" s="40" t="s">
        <v>111</v>
      </c>
      <c r="J68" s="2"/>
      <c r="K68" s="4" t="str">
        <f t="shared" si="1"/>
        <v/>
      </c>
      <c r="L68" s="16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6">
        <v>45952.0</v>
      </c>
      <c r="C75" s="59" t="s">
        <v>92</v>
      </c>
      <c r="D75" s="59" t="s">
        <v>180</v>
      </c>
      <c r="E75" s="14" t="s">
        <v>57</v>
      </c>
      <c r="F75" s="78"/>
      <c r="G75" s="75" t="s">
        <v>24</v>
      </c>
      <c r="H75" s="78"/>
      <c r="I75" s="14" t="s">
        <v>183</v>
      </c>
      <c r="J75" s="4"/>
      <c r="K75" s="4" t="str">
        <f t="shared" ref="K75:K119" si="10">IF(F75="","",IFS(F75&gt;H75,3,F75=H75,1,H75&gt;F75,0,F75="",0))</f>
        <v/>
      </c>
      <c r="L75" s="16" t="str">
        <f t="shared" ref="L75:L119" si="11">IF(H75="","",IFS(F75&lt;H75,3,F75=H75,1,H75&lt;F75,0))</f>
        <v/>
      </c>
      <c r="M75" s="4"/>
      <c r="N75" s="16">
        <v>1.0</v>
      </c>
      <c r="O75" s="47" t="s">
        <v>183</v>
      </c>
      <c r="P75" s="16">
        <f t="shared" ref="P75:P83" si="12">SUMIF(E$75:E$119,O75,K$75:K$119)+SUMIF(I$75:I$119,O75,L$75:L$119)</f>
        <v>0</v>
      </c>
      <c r="Q75" s="16">
        <f t="shared" ref="Q75:Q83" si="13">COUNTIFS(E$75:E$119,O75,K$75:K$119,3)+COUNTIFS(I$75:I$119,O75,L$75:L$119,3)</f>
        <v>0</v>
      </c>
      <c r="R75" s="16">
        <f t="shared" ref="R75:R83" si="14">COUNTIFS(E$75:E$119,O75,K$75:K$119,1)+COUNTIFS(I$75:I$119,O75,L$75:L$119,1)</f>
        <v>0</v>
      </c>
      <c r="S75" s="18">
        <f t="shared" ref="S75:S83" si="15">COUNTIFS(E$75:E$119,O75,K$75:K$119,0)+COUNTIFS(I$75:I$119,O75,L$75:L$119,0)</f>
        <v>0</v>
      </c>
      <c r="T75" s="16">
        <f t="shared" ref="T75:T83" si="16">SUMIF(E$75:E$119,O75,F$75:F$119)+SUMIF(I$75:I$119,O75,H$75:H$119)</f>
        <v>0</v>
      </c>
      <c r="U75" s="18">
        <f t="shared" ref="U75:U83" si="17">SUMIF(E$75:E$119,O75,H$75:H$119)+SUMIF(I$75:I$119,O75,F$75:F$119)</f>
        <v>0</v>
      </c>
      <c r="V75" s="16">
        <f t="shared" ref="V75:V83" si="18">T75-U75</f>
        <v>0</v>
      </c>
      <c r="W75" s="2"/>
      <c r="X75" s="2"/>
      <c r="Y75" s="2"/>
      <c r="Z75" s="2"/>
      <c r="AA75" s="41" t="s">
        <v>29</v>
      </c>
      <c r="AB75" s="22" t="str">
        <f t="array" ref="AB75:AI83">SORT(O75:V83,2,FALSE,9,FALSE,8,FALSE())</f>
        <v>Geologia</v>
      </c>
      <c r="AC75" s="21">
        <v>0.0</v>
      </c>
      <c r="AD75" s="21">
        <v>0.0</v>
      </c>
      <c r="AE75" s="21">
        <v>0.0</v>
      </c>
      <c r="AF75" s="21">
        <v>0.0</v>
      </c>
      <c r="AG75" s="21">
        <v>0.0</v>
      </c>
      <c r="AH75" s="22">
        <v>0.0</v>
      </c>
      <c r="AI75" s="21">
        <v>0.0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ht="15.75" customHeight="1">
      <c r="A76" s="23"/>
      <c r="B76" s="97"/>
      <c r="C76" s="81"/>
      <c r="D76" s="59" t="s">
        <v>180</v>
      </c>
      <c r="E76" s="14" t="s">
        <v>65</v>
      </c>
      <c r="F76" s="110"/>
      <c r="G76" s="75" t="s">
        <v>24</v>
      </c>
      <c r="H76" s="110"/>
      <c r="I76" s="14" t="s">
        <v>123</v>
      </c>
      <c r="J76" s="4"/>
      <c r="K76" s="4" t="str">
        <f t="shared" si="10"/>
        <v/>
      </c>
      <c r="L76" s="16" t="str">
        <f t="shared" si="11"/>
        <v/>
      </c>
      <c r="M76" s="4"/>
      <c r="N76" s="16">
        <v>2.0</v>
      </c>
      <c r="O76" s="47" t="s">
        <v>57</v>
      </c>
      <c r="P76" s="16">
        <f t="shared" si="12"/>
        <v>0</v>
      </c>
      <c r="Q76" s="16">
        <f t="shared" si="13"/>
        <v>0</v>
      </c>
      <c r="R76" s="16">
        <f t="shared" si="14"/>
        <v>0</v>
      </c>
      <c r="S76" s="18">
        <f t="shared" si="15"/>
        <v>0</v>
      </c>
      <c r="T76" s="16">
        <f t="shared" si="16"/>
        <v>0</v>
      </c>
      <c r="U76" s="18">
        <f t="shared" si="17"/>
        <v>0</v>
      </c>
      <c r="V76" s="16">
        <f t="shared" si="18"/>
        <v>0</v>
      </c>
      <c r="W76" s="2"/>
      <c r="X76" s="2"/>
      <c r="Y76" s="2"/>
      <c r="Z76" s="2"/>
      <c r="AA76" s="95" t="s">
        <v>114</v>
      </c>
      <c r="AB76" s="21" t="s">
        <v>57</v>
      </c>
      <c r="AC76" s="21">
        <v>0.0</v>
      </c>
      <c r="AD76" s="21">
        <v>0.0</v>
      </c>
      <c r="AE76" s="21">
        <v>0.0</v>
      </c>
      <c r="AF76" s="21">
        <v>0.0</v>
      </c>
      <c r="AG76" s="21">
        <v>0.0</v>
      </c>
      <c r="AH76" s="22">
        <v>0.0</v>
      </c>
      <c r="AI76" s="21">
        <v>0.0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ht="15.75" customHeight="1">
      <c r="A77" s="23"/>
      <c r="B77" s="96">
        <v>45952.0</v>
      </c>
      <c r="C77" s="59" t="s">
        <v>96</v>
      </c>
      <c r="D77" s="59" t="s">
        <v>180</v>
      </c>
      <c r="E77" s="14" t="s">
        <v>32</v>
      </c>
      <c r="F77" s="110"/>
      <c r="G77" s="75" t="s">
        <v>24</v>
      </c>
      <c r="H77" s="110"/>
      <c r="I77" s="14" t="s">
        <v>45</v>
      </c>
      <c r="J77" s="4"/>
      <c r="K77" s="4" t="str">
        <f t="shared" si="10"/>
        <v/>
      </c>
      <c r="L77" s="16" t="str">
        <f t="shared" si="11"/>
        <v/>
      </c>
      <c r="M77" s="4"/>
      <c r="N77" s="16">
        <v>3.0</v>
      </c>
      <c r="O77" s="47" t="s">
        <v>65</v>
      </c>
      <c r="P77" s="16">
        <f t="shared" si="12"/>
        <v>0</v>
      </c>
      <c r="Q77" s="16">
        <f t="shared" si="13"/>
        <v>0</v>
      </c>
      <c r="R77" s="16">
        <f t="shared" si="14"/>
        <v>0</v>
      </c>
      <c r="S77" s="18">
        <f t="shared" si="15"/>
        <v>0</v>
      </c>
      <c r="T77" s="16">
        <f t="shared" si="16"/>
        <v>0</v>
      </c>
      <c r="U77" s="18">
        <f t="shared" si="17"/>
        <v>0</v>
      </c>
      <c r="V77" s="16">
        <f t="shared" si="18"/>
        <v>0</v>
      </c>
      <c r="W77" s="2"/>
      <c r="X77" s="2"/>
      <c r="Y77" s="2"/>
      <c r="Z77" s="2"/>
      <c r="AA77" s="20">
        <v>3.0</v>
      </c>
      <c r="AB77" s="21" t="s">
        <v>65</v>
      </c>
      <c r="AC77" s="21">
        <v>0.0</v>
      </c>
      <c r="AD77" s="21">
        <v>0.0</v>
      </c>
      <c r="AE77" s="21">
        <v>0.0</v>
      </c>
      <c r="AF77" s="21">
        <v>0.0</v>
      </c>
      <c r="AG77" s="21">
        <v>0.0</v>
      </c>
      <c r="AH77" s="22">
        <v>0.0</v>
      </c>
      <c r="AI77" s="21">
        <v>0.0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ht="15.75" customHeight="1">
      <c r="A78" s="23"/>
      <c r="B78" s="96">
        <v>45950.0</v>
      </c>
      <c r="C78" s="59" t="s">
        <v>96</v>
      </c>
      <c r="D78" s="59" t="s">
        <v>180</v>
      </c>
      <c r="E78" s="40" t="s">
        <v>42</v>
      </c>
      <c r="F78" s="110"/>
      <c r="G78" s="75" t="s">
        <v>24</v>
      </c>
      <c r="H78" s="110"/>
      <c r="I78" s="40" t="s">
        <v>97</v>
      </c>
      <c r="J78" s="4"/>
      <c r="K78" s="4" t="str">
        <f t="shared" si="10"/>
        <v/>
      </c>
      <c r="L78" s="16" t="str">
        <f t="shared" si="11"/>
        <v/>
      </c>
      <c r="M78" s="4"/>
      <c r="N78" s="16">
        <v>4.0</v>
      </c>
      <c r="O78" s="47" t="s">
        <v>32</v>
      </c>
      <c r="P78" s="16">
        <f t="shared" si="12"/>
        <v>0</v>
      </c>
      <c r="Q78" s="16">
        <f t="shared" si="13"/>
        <v>0</v>
      </c>
      <c r="R78" s="16">
        <f t="shared" si="14"/>
        <v>0</v>
      </c>
      <c r="S78" s="18">
        <f t="shared" si="15"/>
        <v>0</v>
      </c>
      <c r="T78" s="16">
        <f t="shared" si="16"/>
        <v>0</v>
      </c>
      <c r="U78" s="18">
        <f t="shared" si="17"/>
        <v>0</v>
      </c>
      <c r="V78" s="16">
        <f t="shared" si="18"/>
        <v>0</v>
      </c>
      <c r="W78" s="2"/>
      <c r="X78" s="2"/>
      <c r="Y78" s="2"/>
      <c r="Z78" s="2"/>
      <c r="AA78" s="20">
        <v>4.0</v>
      </c>
      <c r="AB78" s="21" t="s">
        <v>32</v>
      </c>
      <c r="AC78" s="21">
        <v>0.0</v>
      </c>
      <c r="AD78" s="21">
        <v>0.0</v>
      </c>
      <c r="AE78" s="21">
        <v>0.0</v>
      </c>
      <c r="AF78" s="21">
        <v>0.0</v>
      </c>
      <c r="AG78" s="21">
        <v>0.0</v>
      </c>
      <c r="AH78" s="22">
        <v>0.0</v>
      </c>
      <c r="AI78" s="21">
        <v>0.0</v>
      </c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ht="15.75" customHeight="1">
      <c r="A79" s="28"/>
      <c r="B79" s="111"/>
      <c r="C79" s="15"/>
      <c r="D79" s="109"/>
      <c r="E79" s="14" t="s">
        <v>121</v>
      </c>
      <c r="F79" s="110"/>
      <c r="G79" s="75" t="s">
        <v>24</v>
      </c>
      <c r="H79" s="110"/>
      <c r="I79" s="14">
        <v>0.0</v>
      </c>
      <c r="J79" s="4"/>
      <c r="K79" s="4" t="str">
        <f t="shared" si="10"/>
        <v/>
      </c>
      <c r="L79" s="16" t="str">
        <f t="shared" si="11"/>
        <v/>
      </c>
      <c r="M79" s="4"/>
      <c r="N79" s="16">
        <v>5.0</v>
      </c>
      <c r="O79" s="47" t="s">
        <v>42</v>
      </c>
      <c r="P79" s="16">
        <f t="shared" si="12"/>
        <v>0</v>
      </c>
      <c r="Q79" s="16">
        <f t="shared" si="13"/>
        <v>0</v>
      </c>
      <c r="R79" s="16">
        <f t="shared" si="14"/>
        <v>0</v>
      </c>
      <c r="S79" s="18">
        <f t="shared" si="15"/>
        <v>0</v>
      </c>
      <c r="T79" s="16">
        <f t="shared" si="16"/>
        <v>0</v>
      </c>
      <c r="U79" s="18">
        <f t="shared" si="17"/>
        <v>0</v>
      </c>
      <c r="V79" s="16">
        <f t="shared" si="18"/>
        <v>0</v>
      </c>
      <c r="W79" s="2"/>
      <c r="X79" s="2"/>
      <c r="Y79" s="2"/>
      <c r="Z79" s="2"/>
      <c r="AA79" s="20">
        <v>5.0</v>
      </c>
      <c r="AB79" s="21" t="s">
        <v>42</v>
      </c>
      <c r="AC79" s="21">
        <v>0.0</v>
      </c>
      <c r="AD79" s="21">
        <v>0.0</v>
      </c>
      <c r="AE79" s="21">
        <v>0.0</v>
      </c>
      <c r="AF79" s="21">
        <v>0.0</v>
      </c>
      <c r="AG79" s="21">
        <v>0.0</v>
      </c>
      <c r="AH79" s="22">
        <v>0.0</v>
      </c>
      <c r="AI79" s="21">
        <v>0.0</v>
      </c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ht="15.75" customHeight="1">
      <c r="A80" s="10">
        <v>2.0</v>
      </c>
      <c r="B80" s="111"/>
      <c r="C80" s="15"/>
      <c r="D80" s="109"/>
      <c r="E80" s="40" t="s">
        <v>183</v>
      </c>
      <c r="F80" s="15"/>
      <c r="G80" s="75" t="s">
        <v>24</v>
      </c>
      <c r="H80" s="110"/>
      <c r="I80" s="40" t="s">
        <v>65</v>
      </c>
      <c r="J80" s="4"/>
      <c r="K80" s="4" t="str">
        <f t="shared" si="10"/>
        <v/>
      </c>
      <c r="L80" s="16" t="str">
        <f t="shared" si="11"/>
        <v/>
      </c>
      <c r="M80" s="4"/>
      <c r="N80" s="16">
        <v>6.0</v>
      </c>
      <c r="O80" s="47" t="s">
        <v>121</v>
      </c>
      <c r="P80" s="16">
        <f t="shared" si="12"/>
        <v>0</v>
      </c>
      <c r="Q80" s="16">
        <f t="shared" si="13"/>
        <v>0</v>
      </c>
      <c r="R80" s="16">
        <f t="shared" si="14"/>
        <v>0</v>
      </c>
      <c r="S80" s="18">
        <f t="shared" si="15"/>
        <v>0</v>
      </c>
      <c r="T80" s="16">
        <f t="shared" si="16"/>
        <v>0</v>
      </c>
      <c r="U80" s="18">
        <f t="shared" si="17"/>
        <v>0</v>
      </c>
      <c r="V80" s="16">
        <f t="shared" si="18"/>
        <v>0</v>
      </c>
      <c r="W80" s="2"/>
      <c r="X80" s="2"/>
      <c r="Y80" s="2"/>
      <c r="Z80" s="2"/>
      <c r="AA80" s="20">
        <v>6.0</v>
      </c>
      <c r="AB80" s="21" t="s">
        <v>121</v>
      </c>
      <c r="AC80" s="21">
        <v>0.0</v>
      </c>
      <c r="AD80" s="21">
        <v>0.0</v>
      </c>
      <c r="AE80" s="21">
        <v>0.0</v>
      </c>
      <c r="AF80" s="21">
        <v>0.0</v>
      </c>
      <c r="AG80" s="21">
        <v>0.0</v>
      </c>
      <c r="AH80" s="22">
        <v>0.0</v>
      </c>
      <c r="AI80" s="21">
        <v>0.0</v>
      </c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ht="15.75" customHeight="1">
      <c r="A81" s="23"/>
      <c r="B81" s="111"/>
      <c r="C81" s="15"/>
      <c r="D81" s="109"/>
      <c r="E81" s="14">
        <v>0.0</v>
      </c>
      <c r="F81" s="15"/>
      <c r="G81" s="75" t="s">
        <v>24</v>
      </c>
      <c r="H81" s="110"/>
      <c r="I81" s="14" t="s">
        <v>57</v>
      </c>
      <c r="J81" s="4"/>
      <c r="K81" s="4" t="str">
        <f t="shared" si="10"/>
        <v/>
      </c>
      <c r="L81" s="16" t="str">
        <f t="shared" si="11"/>
        <v/>
      </c>
      <c r="M81" s="4"/>
      <c r="N81" s="16">
        <v>7.0</v>
      </c>
      <c r="O81" s="47" t="s">
        <v>97</v>
      </c>
      <c r="P81" s="16">
        <f t="shared" si="12"/>
        <v>0</v>
      </c>
      <c r="Q81" s="16">
        <f t="shared" si="13"/>
        <v>0</v>
      </c>
      <c r="R81" s="16">
        <f t="shared" si="14"/>
        <v>0</v>
      </c>
      <c r="S81" s="18">
        <f t="shared" si="15"/>
        <v>0</v>
      </c>
      <c r="T81" s="16">
        <f t="shared" si="16"/>
        <v>0</v>
      </c>
      <c r="U81" s="18">
        <f t="shared" si="17"/>
        <v>0</v>
      </c>
      <c r="V81" s="16">
        <f t="shared" si="18"/>
        <v>0</v>
      </c>
      <c r="W81" s="2"/>
      <c r="X81" s="2"/>
      <c r="Y81" s="2"/>
      <c r="Z81" s="2"/>
      <c r="AA81" s="20">
        <v>7.0</v>
      </c>
      <c r="AB81" s="21" t="s">
        <v>97</v>
      </c>
      <c r="AC81" s="21">
        <v>0.0</v>
      </c>
      <c r="AD81" s="21">
        <v>0.0</v>
      </c>
      <c r="AE81" s="21">
        <v>0.0</v>
      </c>
      <c r="AF81" s="21">
        <v>0.0</v>
      </c>
      <c r="AG81" s="21">
        <v>0.0</v>
      </c>
      <c r="AH81" s="22">
        <v>0.0</v>
      </c>
      <c r="AI81" s="21">
        <v>0.0</v>
      </c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ht="15.75" customHeight="1">
      <c r="A82" s="23"/>
      <c r="B82" s="111"/>
      <c r="C82" s="15"/>
      <c r="D82" s="109"/>
      <c r="E82" s="14" t="s">
        <v>123</v>
      </c>
      <c r="F82" s="15"/>
      <c r="G82" s="75" t="s">
        <v>24</v>
      </c>
      <c r="H82" s="110"/>
      <c r="I82" s="14" t="s">
        <v>32</v>
      </c>
      <c r="J82" s="4"/>
      <c r="K82" s="4" t="str">
        <f t="shared" si="10"/>
        <v/>
      </c>
      <c r="L82" s="16" t="str">
        <f t="shared" si="11"/>
        <v/>
      </c>
      <c r="M82" s="4"/>
      <c r="N82" s="16">
        <v>8.0</v>
      </c>
      <c r="O82" s="47" t="s">
        <v>45</v>
      </c>
      <c r="P82" s="16">
        <f t="shared" si="12"/>
        <v>0</v>
      </c>
      <c r="Q82" s="16">
        <f t="shared" si="13"/>
        <v>0</v>
      </c>
      <c r="R82" s="16">
        <f t="shared" si="14"/>
        <v>0</v>
      </c>
      <c r="S82" s="18">
        <f t="shared" si="15"/>
        <v>0</v>
      </c>
      <c r="T82" s="16">
        <f t="shared" si="16"/>
        <v>0</v>
      </c>
      <c r="U82" s="18">
        <f t="shared" si="17"/>
        <v>0</v>
      </c>
      <c r="V82" s="16">
        <f t="shared" si="18"/>
        <v>0</v>
      </c>
      <c r="W82" s="2"/>
      <c r="X82" s="2"/>
      <c r="Y82" s="2"/>
      <c r="Z82" s="2"/>
      <c r="AA82" s="20">
        <v>8.0</v>
      </c>
      <c r="AB82" s="21" t="s">
        <v>45</v>
      </c>
      <c r="AC82" s="21">
        <v>0.0</v>
      </c>
      <c r="AD82" s="21">
        <v>0.0</v>
      </c>
      <c r="AE82" s="21">
        <v>0.0</v>
      </c>
      <c r="AF82" s="21">
        <v>0.0</v>
      </c>
      <c r="AG82" s="21">
        <v>0.0</v>
      </c>
      <c r="AH82" s="22">
        <v>0.0</v>
      </c>
      <c r="AI82" s="21">
        <v>0.0</v>
      </c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ht="15.75" customHeight="1">
      <c r="A83" s="23"/>
      <c r="B83" s="111"/>
      <c r="C83" s="15"/>
      <c r="D83" s="109"/>
      <c r="E83" s="14" t="s">
        <v>45</v>
      </c>
      <c r="F83" s="15"/>
      <c r="G83" s="75" t="s">
        <v>24</v>
      </c>
      <c r="H83" s="110"/>
      <c r="I83" s="14" t="s">
        <v>42</v>
      </c>
      <c r="J83" s="4"/>
      <c r="K83" s="4" t="str">
        <f t="shared" si="10"/>
        <v/>
      </c>
      <c r="L83" s="16" t="str">
        <f t="shared" si="11"/>
        <v/>
      </c>
      <c r="M83" s="4"/>
      <c r="N83" s="16">
        <v>9.0</v>
      </c>
      <c r="O83" s="47" t="s">
        <v>123</v>
      </c>
      <c r="P83" s="16">
        <f t="shared" si="12"/>
        <v>0</v>
      </c>
      <c r="Q83" s="16">
        <f t="shared" si="13"/>
        <v>0</v>
      </c>
      <c r="R83" s="16">
        <f t="shared" si="14"/>
        <v>0</v>
      </c>
      <c r="S83" s="18">
        <f t="shared" si="15"/>
        <v>0</v>
      </c>
      <c r="T83" s="16">
        <f t="shared" si="16"/>
        <v>0</v>
      </c>
      <c r="U83" s="18">
        <f t="shared" si="17"/>
        <v>0</v>
      </c>
      <c r="V83" s="16">
        <f t="shared" si="18"/>
        <v>0</v>
      </c>
      <c r="W83" s="2"/>
      <c r="X83" s="2"/>
      <c r="Y83" s="2"/>
      <c r="Z83" s="2"/>
      <c r="AA83" s="20">
        <v>9.0</v>
      </c>
      <c r="AB83" s="21" t="s">
        <v>123</v>
      </c>
      <c r="AC83" s="21">
        <v>0.0</v>
      </c>
      <c r="AD83" s="21">
        <v>0.0</v>
      </c>
      <c r="AE83" s="21">
        <v>0.0</v>
      </c>
      <c r="AF83" s="21">
        <v>0.0</v>
      </c>
      <c r="AG83" s="21">
        <v>0.0</v>
      </c>
      <c r="AH83" s="21">
        <v>0.0</v>
      </c>
      <c r="AI83" s="21">
        <v>0.0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ht="15.75" customHeight="1">
      <c r="A84" s="28"/>
      <c r="B84" s="111"/>
      <c r="C84" s="15"/>
      <c r="D84" s="109"/>
      <c r="E84" s="14" t="s">
        <v>97</v>
      </c>
      <c r="F84" s="15"/>
      <c r="G84" s="75" t="s">
        <v>24</v>
      </c>
      <c r="H84" s="110"/>
      <c r="I84" s="14" t="s">
        <v>121</v>
      </c>
      <c r="J84" s="4"/>
      <c r="K84" s="4" t="str">
        <f t="shared" si="10"/>
        <v/>
      </c>
      <c r="L84" s="16" t="str">
        <f t="shared" si="11"/>
        <v/>
      </c>
      <c r="M84" s="4"/>
      <c r="N84" s="16"/>
      <c r="O84" s="3"/>
      <c r="P84" s="16"/>
      <c r="Q84" s="16"/>
      <c r="R84" s="16"/>
      <c r="S84" s="18"/>
      <c r="T84" s="16"/>
      <c r="U84" s="18"/>
      <c r="V84" s="16"/>
      <c r="W84" s="2"/>
      <c r="X84" s="2"/>
      <c r="Y84" s="2"/>
      <c r="Z84" s="2"/>
      <c r="AA84" s="34" t="s">
        <v>184</v>
      </c>
      <c r="AD84" s="31"/>
      <c r="AE84" s="31"/>
      <c r="AF84" s="31"/>
      <c r="AG84" s="31"/>
      <c r="AH84" s="31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ht="15.75" customHeight="1">
      <c r="A85" s="10">
        <v>3.0</v>
      </c>
      <c r="B85" s="29"/>
      <c r="C85" s="15"/>
      <c r="D85" s="109"/>
      <c r="E85" s="14" t="s">
        <v>32</v>
      </c>
      <c r="F85" s="110"/>
      <c r="G85" s="75" t="s">
        <v>24</v>
      </c>
      <c r="H85" s="110"/>
      <c r="I85" s="14" t="s">
        <v>183</v>
      </c>
      <c r="J85" s="4"/>
      <c r="K85" s="4" t="str">
        <f t="shared" si="10"/>
        <v/>
      </c>
      <c r="L85" s="16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73" t="s">
        <v>108</v>
      </c>
      <c r="AD85" s="2"/>
      <c r="AE85" s="2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3"/>
      <c r="B86" s="29"/>
      <c r="C86" s="15"/>
      <c r="D86" s="109"/>
      <c r="E86" s="40" t="s">
        <v>65</v>
      </c>
      <c r="F86" s="110"/>
      <c r="G86" s="75" t="s">
        <v>24</v>
      </c>
      <c r="H86" s="110"/>
      <c r="I86" s="40" t="s">
        <v>57</v>
      </c>
      <c r="J86" s="4"/>
      <c r="K86" s="4" t="str">
        <f t="shared" si="10"/>
        <v/>
      </c>
      <c r="L86" s="16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A86" s="4"/>
      <c r="AD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3"/>
      <c r="B87" s="29"/>
      <c r="C87" s="15"/>
      <c r="D87" s="109"/>
      <c r="E87" s="14" t="s">
        <v>42</v>
      </c>
      <c r="F87" s="110"/>
      <c r="G87" s="75" t="s">
        <v>24</v>
      </c>
      <c r="H87" s="110"/>
      <c r="I87" s="14" t="s">
        <v>123</v>
      </c>
      <c r="J87" s="4"/>
      <c r="K87" s="4" t="str">
        <f t="shared" si="10"/>
        <v/>
      </c>
      <c r="L87" s="16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3"/>
      <c r="B88" s="29"/>
      <c r="C88" s="15"/>
      <c r="D88" s="109"/>
      <c r="E88" s="14" t="s">
        <v>121</v>
      </c>
      <c r="F88" s="110"/>
      <c r="G88" s="75" t="s">
        <v>24</v>
      </c>
      <c r="H88" s="110"/>
      <c r="I88" s="14" t="s">
        <v>45</v>
      </c>
      <c r="J88" s="4"/>
      <c r="K88" s="4" t="str">
        <f t="shared" si="10"/>
        <v/>
      </c>
      <c r="L88" s="16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5"/>
      <c r="D89" s="109"/>
      <c r="E89" s="40">
        <v>0.0</v>
      </c>
      <c r="F89" s="110"/>
      <c r="G89" s="75" t="s">
        <v>24</v>
      </c>
      <c r="H89" s="110"/>
      <c r="I89" s="40" t="s">
        <v>97</v>
      </c>
      <c r="J89" s="4"/>
      <c r="K89" s="4" t="str">
        <f t="shared" si="10"/>
        <v/>
      </c>
      <c r="L89" s="16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1"/>
      <c r="C90" s="15"/>
      <c r="D90" s="15"/>
      <c r="E90" s="14" t="s">
        <v>183</v>
      </c>
      <c r="F90" s="110"/>
      <c r="G90" s="75" t="s">
        <v>24</v>
      </c>
      <c r="H90" s="110"/>
      <c r="I90" s="14" t="s">
        <v>42</v>
      </c>
      <c r="J90" s="37"/>
      <c r="K90" s="4" t="str">
        <f t="shared" si="10"/>
        <v/>
      </c>
      <c r="L90" s="16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3"/>
      <c r="B91" s="29"/>
      <c r="C91" s="15"/>
      <c r="D91" s="15"/>
      <c r="E91" s="14" t="s">
        <v>57</v>
      </c>
      <c r="F91" s="110"/>
      <c r="G91" s="75" t="s">
        <v>24</v>
      </c>
      <c r="H91" s="110"/>
      <c r="I91" s="14" t="s">
        <v>32</v>
      </c>
      <c r="J91" s="4"/>
      <c r="K91" s="4" t="str">
        <f t="shared" si="10"/>
        <v/>
      </c>
      <c r="L91" s="16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3"/>
      <c r="B92" s="29"/>
      <c r="C92" s="30"/>
      <c r="D92" s="15"/>
      <c r="E92" s="14" t="s">
        <v>65</v>
      </c>
      <c r="F92" s="110"/>
      <c r="G92" s="75" t="s">
        <v>24</v>
      </c>
      <c r="H92" s="110"/>
      <c r="I92" s="14">
        <v>0.0</v>
      </c>
      <c r="J92" s="4"/>
      <c r="K92" s="4" t="str">
        <f t="shared" si="10"/>
        <v/>
      </c>
      <c r="L92" s="16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3"/>
      <c r="B93" s="29"/>
      <c r="C93" s="15"/>
      <c r="D93" s="15"/>
      <c r="E93" s="14" t="s">
        <v>123</v>
      </c>
      <c r="F93" s="110"/>
      <c r="G93" s="75" t="s">
        <v>24</v>
      </c>
      <c r="H93" s="110"/>
      <c r="I93" s="14" t="s">
        <v>121</v>
      </c>
      <c r="J93" s="4"/>
      <c r="K93" s="4" t="str">
        <f t="shared" si="10"/>
        <v/>
      </c>
      <c r="L93" s="16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5"/>
      <c r="D94" s="15"/>
      <c r="E94" s="40" t="s">
        <v>45</v>
      </c>
      <c r="F94" s="110"/>
      <c r="G94" s="75" t="s">
        <v>24</v>
      </c>
      <c r="H94" s="110"/>
      <c r="I94" s="40" t="s">
        <v>97</v>
      </c>
      <c r="J94" s="4"/>
      <c r="K94" s="4" t="str">
        <f t="shared" si="10"/>
        <v/>
      </c>
      <c r="L94" s="16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1"/>
      <c r="C95" s="15"/>
      <c r="D95" s="109"/>
      <c r="E95" s="14" t="s">
        <v>121</v>
      </c>
      <c r="F95" s="110"/>
      <c r="G95" s="75" t="s">
        <v>24</v>
      </c>
      <c r="H95" s="110"/>
      <c r="I95" s="14" t="s">
        <v>183</v>
      </c>
      <c r="J95" s="4"/>
      <c r="K95" s="4" t="str">
        <f t="shared" si="10"/>
        <v/>
      </c>
      <c r="L95" s="16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3"/>
      <c r="B96" s="111"/>
      <c r="C96" s="15"/>
      <c r="D96" s="109"/>
      <c r="E96" s="14" t="s">
        <v>42</v>
      </c>
      <c r="F96" s="110"/>
      <c r="G96" s="75" t="s">
        <v>24</v>
      </c>
      <c r="H96" s="110"/>
      <c r="I96" s="14" t="s">
        <v>57</v>
      </c>
      <c r="J96" s="4"/>
      <c r="K96" s="4" t="str">
        <f t="shared" si="10"/>
        <v/>
      </c>
      <c r="L96" s="16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3"/>
      <c r="B97" s="111"/>
      <c r="C97" s="15"/>
      <c r="D97" s="109"/>
      <c r="E97" s="14" t="s">
        <v>32</v>
      </c>
      <c r="F97" s="110"/>
      <c r="G97" s="75" t="s">
        <v>24</v>
      </c>
      <c r="H97" s="110"/>
      <c r="I97" s="14" t="s">
        <v>65</v>
      </c>
      <c r="J97" s="4"/>
      <c r="K97" s="4" t="str">
        <f t="shared" si="10"/>
        <v/>
      </c>
      <c r="L97" s="16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3"/>
      <c r="B98" s="111"/>
      <c r="C98" s="15"/>
      <c r="D98" s="109"/>
      <c r="E98" s="40" t="s">
        <v>97</v>
      </c>
      <c r="F98" s="110"/>
      <c r="G98" s="75" t="s">
        <v>24</v>
      </c>
      <c r="H98" s="110"/>
      <c r="I98" s="40" t="s">
        <v>123</v>
      </c>
      <c r="J98" s="4"/>
      <c r="K98" s="4" t="str">
        <f t="shared" si="10"/>
        <v/>
      </c>
      <c r="L98" s="16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1"/>
      <c r="C99" s="15"/>
      <c r="D99" s="109"/>
      <c r="E99" s="40">
        <v>0.0</v>
      </c>
      <c r="F99" s="110"/>
      <c r="G99" s="75" t="s">
        <v>24</v>
      </c>
      <c r="H99" s="110"/>
      <c r="I99" s="40" t="s">
        <v>45</v>
      </c>
      <c r="J99" s="4"/>
      <c r="K99" s="4" t="str">
        <f t="shared" si="10"/>
        <v/>
      </c>
      <c r="L99" s="16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1"/>
      <c r="C100" s="15"/>
      <c r="D100" s="109"/>
      <c r="E100" s="40" t="s">
        <v>183</v>
      </c>
      <c r="F100" s="110"/>
      <c r="G100" s="75" t="s">
        <v>24</v>
      </c>
      <c r="H100" s="110"/>
      <c r="I100" s="40" t="s">
        <v>97</v>
      </c>
      <c r="J100" s="4"/>
      <c r="K100" s="4" t="str">
        <f t="shared" si="10"/>
        <v/>
      </c>
      <c r="L100" s="16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3"/>
      <c r="B101" s="111"/>
      <c r="C101" s="15"/>
      <c r="D101" s="109"/>
      <c r="E101" s="14" t="s">
        <v>57</v>
      </c>
      <c r="F101" s="110"/>
      <c r="G101" s="75" t="s">
        <v>24</v>
      </c>
      <c r="H101" s="110"/>
      <c r="I101" s="14" t="s">
        <v>121</v>
      </c>
      <c r="J101" s="4"/>
      <c r="K101" s="4" t="str">
        <f t="shared" si="10"/>
        <v/>
      </c>
      <c r="L101" s="16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3"/>
      <c r="B102" s="111"/>
      <c r="C102" s="15"/>
      <c r="D102" s="109"/>
      <c r="E102" s="14" t="s">
        <v>65</v>
      </c>
      <c r="F102" s="110"/>
      <c r="G102" s="75" t="s">
        <v>24</v>
      </c>
      <c r="H102" s="110"/>
      <c r="I102" s="14" t="s">
        <v>42</v>
      </c>
      <c r="J102" s="4"/>
      <c r="K102" s="4" t="str">
        <f t="shared" si="10"/>
        <v/>
      </c>
      <c r="L102" s="16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3"/>
      <c r="B103" s="111"/>
      <c r="C103" s="15"/>
      <c r="D103" s="109"/>
      <c r="E103" s="14" t="s">
        <v>32</v>
      </c>
      <c r="F103" s="110"/>
      <c r="G103" s="75" t="s">
        <v>24</v>
      </c>
      <c r="H103" s="110"/>
      <c r="I103" s="14">
        <v>0.0</v>
      </c>
      <c r="J103" s="36"/>
      <c r="K103" s="4" t="str">
        <f t="shared" si="10"/>
        <v/>
      </c>
      <c r="L103" s="16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1"/>
      <c r="C104" s="15"/>
      <c r="D104" s="109"/>
      <c r="E104" s="14" t="s">
        <v>123</v>
      </c>
      <c r="F104" s="110"/>
      <c r="G104" s="75" t="s">
        <v>24</v>
      </c>
      <c r="H104" s="110"/>
      <c r="I104" s="14" t="s">
        <v>45</v>
      </c>
      <c r="J104" s="36"/>
      <c r="K104" s="4" t="str">
        <f t="shared" si="10"/>
        <v/>
      </c>
      <c r="L104" s="16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1"/>
      <c r="C105" s="15"/>
      <c r="D105" s="109"/>
      <c r="E105" s="14" t="s">
        <v>45</v>
      </c>
      <c r="F105" s="110"/>
      <c r="G105" s="75" t="s">
        <v>24</v>
      </c>
      <c r="H105" s="110"/>
      <c r="I105" s="14" t="s">
        <v>183</v>
      </c>
      <c r="J105" s="36"/>
      <c r="K105" s="4" t="str">
        <f t="shared" si="10"/>
        <v/>
      </c>
      <c r="L105" s="16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3"/>
      <c r="B106" s="111"/>
      <c r="C106" s="15"/>
      <c r="D106" s="109"/>
      <c r="E106" s="14" t="s">
        <v>97</v>
      </c>
      <c r="F106" s="110"/>
      <c r="G106" s="75" t="s">
        <v>24</v>
      </c>
      <c r="H106" s="110"/>
      <c r="I106" s="14" t="s">
        <v>57</v>
      </c>
      <c r="J106" s="36"/>
      <c r="K106" s="4" t="str">
        <f t="shared" si="10"/>
        <v/>
      </c>
      <c r="L106" s="16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3"/>
      <c r="B107" s="111"/>
      <c r="C107" s="15"/>
      <c r="D107" s="109"/>
      <c r="E107" s="14" t="s">
        <v>121</v>
      </c>
      <c r="F107" s="110"/>
      <c r="G107" s="75" t="s">
        <v>24</v>
      </c>
      <c r="H107" s="110"/>
      <c r="I107" s="14" t="s">
        <v>65</v>
      </c>
      <c r="J107" s="36"/>
      <c r="K107" s="4" t="str">
        <f t="shared" si="10"/>
        <v/>
      </c>
      <c r="L107" s="16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3"/>
      <c r="B108" s="111"/>
      <c r="C108" s="15"/>
      <c r="D108" s="109"/>
      <c r="E108" s="14" t="s">
        <v>42</v>
      </c>
      <c r="F108" s="110"/>
      <c r="G108" s="75" t="s">
        <v>24</v>
      </c>
      <c r="H108" s="110"/>
      <c r="I108" s="14" t="s">
        <v>32</v>
      </c>
      <c r="J108" s="2"/>
      <c r="K108" s="4" t="str">
        <f t="shared" si="10"/>
        <v/>
      </c>
      <c r="L108" s="16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1"/>
      <c r="C109" s="15"/>
      <c r="D109" s="109"/>
      <c r="E109" s="14">
        <v>0.0</v>
      </c>
      <c r="F109" s="110"/>
      <c r="G109" s="75" t="s">
        <v>24</v>
      </c>
      <c r="H109" s="110"/>
      <c r="I109" s="14" t="s">
        <v>123</v>
      </c>
      <c r="J109" s="2"/>
      <c r="K109" s="4" t="str">
        <f t="shared" si="10"/>
        <v/>
      </c>
      <c r="L109" s="16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1"/>
      <c r="C110" s="15"/>
      <c r="D110" s="109"/>
      <c r="E110" s="14" t="s">
        <v>183</v>
      </c>
      <c r="F110" s="110"/>
      <c r="G110" s="75" t="s">
        <v>24</v>
      </c>
      <c r="H110" s="110"/>
      <c r="I110" s="14" t="s">
        <v>123</v>
      </c>
      <c r="J110" s="2"/>
      <c r="K110" s="4" t="str">
        <f t="shared" si="10"/>
        <v/>
      </c>
      <c r="L110" s="16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3"/>
      <c r="B111" s="111"/>
      <c r="C111" s="15"/>
      <c r="D111" s="109"/>
      <c r="E111" s="14" t="s">
        <v>57</v>
      </c>
      <c r="F111" s="110"/>
      <c r="G111" s="75" t="s">
        <v>24</v>
      </c>
      <c r="H111" s="110"/>
      <c r="I111" s="14" t="s">
        <v>45</v>
      </c>
      <c r="J111" s="2"/>
      <c r="K111" s="4" t="str">
        <f t="shared" si="10"/>
        <v/>
      </c>
      <c r="L111" s="16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3"/>
      <c r="B112" s="111"/>
      <c r="C112" s="15"/>
      <c r="D112" s="109"/>
      <c r="E112" s="14" t="s">
        <v>65</v>
      </c>
      <c r="F112" s="110"/>
      <c r="G112" s="75" t="s">
        <v>24</v>
      </c>
      <c r="H112" s="110"/>
      <c r="I112" s="14" t="s">
        <v>97</v>
      </c>
      <c r="J112" s="2"/>
      <c r="K112" s="4" t="str">
        <f t="shared" si="10"/>
        <v/>
      </c>
      <c r="L112" s="16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3"/>
      <c r="B113" s="111"/>
      <c r="C113" s="15"/>
      <c r="D113" s="109"/>
      <c r="E113" s="14" t="s">
        <v>32</v>
      </c>
      <c r="F113" s="110"/>
      <c r="G113" s="75" t="s">
        <v>24</v>
      </c>
      <c r="H113" s="110"/>
      <c r="I113" s="14" t="s">
        <v>121</v>
      </c>
      <c r="J113" s="2"/>
      <c r="K113" s="4" t="str">
        <f t="shared" si="10"/>
        <v/>
      </c>
      <c r="L113" s="16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1"/>
      <c r="C114" s="15"/>
      <c r="D114" s="109"/>
      <c r="E114" s="14" t="s">
        <v>42</v>
      </c>
      <c r="F114" s="110"/>
      <c r="G114" s="75" t="s">
        <v>24</v>
      </c>
      <c r="H114" s="110"/>
      <c r="I114" s="14">
        <v>0.0</v>
      </c>
      <c r="J114" s="2"/>
      <c r="K114" s="4" t="str">
        <f t="shared" si="10"/>
        <v/>
      </c>
      <c r="L114" s="16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1"/>
      <c r="C115" s="15"/>
      <c r="D115" s="109"/>
      <c r="E115" s="14">
        <v>0.0</v>
      </c>
      <c r="F115" s="110"/>
      <c r="G115" s="75" t="s">
        <v>24</v>
      </c>
      <c r="H115" s="110"/>
      <c r="I115" s="14" t="s">
        <v>183</v>
      </c>
      <c r="J115" s="2"/>
      <c r="K115" s="4" t="str">
        <f t="shared" si="10"/>
        <v/>
      </c>
      <c r="L115" s="16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3"/>
      <c r="B116" s="111"/>
      <c r="C116" s="15"/>
      <c r="D116" s="109"/>
      <c r="E116" s="14" t="s">
        <v>123</v>
      </c>
      <c r="F116" s="110"/>
      <c r="G116" s="75" t="s">
        <v>24</v>
      </c>
      <c r="H116" s="110"/>
      <c r="I116" s="14" t="s">
        <v>57</v>
      </c>
      <c r="J116" s="2"/>
      <c r="K116" s="4" t="str">
        <f t="shared" si="10"/>
        <v/>
      </c>
      <c r="L116" s="16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3"/>
      <c r="B117" s="111"/>
      <c r="C117" s="15"/>
      <c r="D117" s="109"/>
      <c r="E117" s="14" t="s">
        <v>45</v>
      </c>
      <c r="F117" s="110"/>
      <c r="G117" s="75" t="s">
        <v>24</v>
      </c>
      <c r="H117" s="110"/>
      <c r="I117" s="14" t="s">
        <v>65</v>
      </c>
      <c r="J117" s="2"/>
      <c r="K117" s="4" t="str">
        <f t="shared" si="10"/>
        <v/>
      </c>
      <c r="L117" s="16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3"/>
      <c r="B118" s="111"/>
      <c r="C118" s="15"/>
      <c r="D118" s="109"/>
      <c r="E118" s="14" t="s">
        <v>97</v>
      </c>
      <c r="F118" s="110"/>
      <c r="G118" s="75" t="s">
        <v>24</v>
      </c>
      <c r="H118" s="110"/>
      <c r="I118" s="14" t="s">
        <v>32</v>
      </c>
      <c r="J118" s="2"/>
      <c r="K118" s="4" t="str">
        <f t="shared" si="10"/>
        <v/>
      </c>
      <c r="L118" s="16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1"/>
      <c r="C119" s="15"/>
      <c r="D119" s="109"/>
      <c r="E119" s="14" t="s">
        <v>121</v>
      </c>
      <c r="F119" s="110"/>
      <c r="G119" s="75" t="s">
        <v>24</v>
      </c>
      <c r="H119" s="110"/>
      <c r="I119" s="14" t="s">
        <v>42</v>
      </c>
      <c r="J119" s="2"/>
      <c r="K119" s="4" t="str">
        <f t="shared" si="10"/>
        <v/>
      </c>
      <c r="L119" s="16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1" t="str">
        <f t="array" ref="AB126:AI134">SORT(O128:V136,2,FALSE,8,FALSE)</f>
        <v>Matemática</v>
      </c>
      <c r="AC126" s="21">
        <v>0.0</v>
      </c>
      <c r="AD126" s="21">
        <v>0.0</v>
      </c>
      <c r="AE126" s="21">
        <v>0.0</v>
      </c>
      <c r="AF126" s="21">
        <v>0.0</v>
      </c>
      <c r="AG126" s="21">
        <v>0.0</v>
      </c>
      <c r="AH126" s="22">
        <v>0.0</v>
      </c>
      <c r="AI126" s="21">
        <v>0.0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114</v>
      </c>
      <c r="AB127" s="21" t="s">
        <v>43</v>
      </c>
      <c r="AC127" s="21">
        <v>0.0</v>
      </c>
      <c r="AD127" s="21">
        <v>0.0</v>
      </c>
      <c r="AE127" s="21">
        <v>0.0</v>
      </c>
      <c r="AF127" s="21">
        <v>0.0</v>
      </c>
      <c r="AG127" s="21">
        <v>0.0</v>
      </c>
      <c r="AH127" s="22">
        <v>0.0</v>
      </c>
      <c r="AI127" s="21">
        <v>0.0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6">
        <v>45953.0</v>
      </c>
      <c r="C128" s="59" t="s">
        <v>96</v>
      </c>
      <c r="D128" s="59" t="s">
        <v>180</v>
      </c>
      <c r="E128" s="14" t="s">
        <v>43</v>
      </c>
      <c r="F128" s="110"/>
      <c r="G128" s="75" t="s">
        <v>24</v>
      </c>
      <c r="H128" s="110"/>
      <c r="I128" s="14" t="s">
        <v>62</v>
      </c>
      <c r="J128" s="4"/>
      <c r="K128" s="4" t="str">
        <f t="shared" ref="K128:K172" si="19">IF(F128="","",IFS(F128&gt;H128,3,F128=H128,1,H128&gt;F128,0,F128="",0))</f>
        <v/>
      </c>
      <c r="L128" s="16" t="str">
        <f t="shared" ref="L128:L172" si="20">IF(H128="","",IFS(F128&lt;H128,3,F128=H128,1,H128&lt;F128,0))</f>
        <v/>
      </c>
      <c r="M128" s="4"/>
      <c r="N128" s="16">
        <v>1.0</v>
      </c>
      <c r="O128" s="47" t="s">
        <v>62</v>
      </c>
      <c r="P128" s="16">
        <f t="shared" ref="P128:P136" si="21">SUMIF(E$128:E$172,O128,K$128:K$172)+SUMIF(I$128:I$172,O128,L$128:L$172)</f>
        <v>0</v>
      </c>
      <c r="Q128" s="16">
        <f t="shared" ref="Q128:Q136" si="22">COUNTIFS(E$128:E$172,O128,K$128:K$172,3)+COUNTIFS(I$128:I$172,O128,L$128:L$172,3)</f>
        <v>0</v>
      </c>
      <c r="R128" s="18">
        <f t="shared" ref="R128:R136" si="23">COUNTIFS(E$128:E$172,O128,K$128:K$172,1)+COUNTIFS(I$128:I$172,O128,L$128:L$172,1)</f>
        <v>0</v>
      </c>
      <c r="S128" s="18">
        <f t="shared" ref="S128:S136" si="24">COUNTIFS(E$128:E$172,O128,K$128:K$172,0)+COUNTIFS(I$128:I$172,O128,L$128:L$172,0)</f>
        <v>0</v>
      </c>
      <c r="T128" s="16">
        <f t="shared" ref="T128:T136" si="25">SUMIF(E$128:E$172,O128,F$128:F$172)+SUMIF(I$128:I$172,O128,H$128:H$172)</f>
        <v>0</v>
      </c>
      <c r="U128" s="18">
        <f t="shared" ref="U128:U136" si="26">SUMIF(E$128:E$172,O128,H$128:H$172)+SUMIF(I$128:I$172,O128,F$128:F$172)</f>
        <v>0</v>
      </c>
      <c r="V128" s="16">
        <f t="shared" ref="V128:V136" si="27">T128-U128</f>
        <v>0</v>
      </c>
      <c r="W128" s="2"/>
      <c r="X128" s="2"/>
      <c r="Y128" s="2"/>
      <c r="Z128" s="2"/>
      <c r="AA128" s="20">
        <v>3.0</v>
      </c>
      <c r="AB128" s="21" t="s">
        <v>56</v>
      </c>
      <c r="AC128" s="21">
        <v>0.0</v>
      </c>
      <c r="AD128" s="21">
        <v>0.0</v>
      </c>
      <c r="AE128" s="21">
        <v>0.0</v>
      </c>
      <c r="AF128" s="21">
        <v>0.0</v>
      </c>
      <c r="AG128" s="21">
        <v>0.0</v>
      </c>
      <c r="AH128" s="22">
        <v>0.0</v>
      </c>
      <c r="AI128" s="21">
        <v>0.0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3"/>
      <c r="B129" s="96">
        <v>45953.0</v>
      </c>
      <c r="C129" s="59" t="s">
        <v>100</v>
      </c>
      <c r="D129" s="59" t="s">
        <v>180</v>
      </c>
      <c r="E129" s="14" t="s">
        <v>56</v>
      </c>
      <c r="F129" s="110"/>
      <c r="G129" s="75" t="s">
        <v>24</v>
      </c>
      <c r="H129" s="110"/>
      <c r="I129" s="14" t="s">
        <v>112</v>
      </c>
      <c r="J129" s="4"/>
      <c r="K129" s="4" t="str">
        <f t="shared" si="19"/>
        <v/>
      </c>
      <c r="L129" s="16" t="str">
        <f t="shared" si="20"/>
        <v/>
      </c>
      <c r="M129" s="4"/>
      <c r="N129" s="16">
        <v>2.0</v>
      </c>
      <c r="O129" s="47" t="s">
        <v>43</v>
      </c>
      <c r="P129" s="16">
        <f t="shared" si="21"/>
        <v>0</v>
      </c>
      <c r="Q129" s="16">
        <f t="shared" si="22"/>
        <v>0</v>
      </c>
      <c r="R129" s="18">
        <f t="shared" si="23"/>
        <v>0</v>
      </c>
      <c r="S129" s="18">
        <f t="shared" si="24"/>
        <v>0</v>
      </c>
      <c r="T129" s="16">
        <f t="shared" si="25"/>
        <v>0</v>
      </c>
      <c r="U129" s="18">
        <f t="shared" si="26"/>
        <v>0</v>
      </c>
      <c r="V129" s="16">
        <f t="shared" si="27"/>
        <v>0</v>
      </c>
      <c r="W129" s="2"/>
      <c r="X129" s="2"/>
      <c r="Y129" s="2"/>
      <c r="Z129" s="2"/>
      <c r="AA129" s="20">
        <v>4.0</v>
      </c>
      <c r="AB129" s="21" t="s">
        <v>144</v>
      </c>
      <c r="AC129" s="21">
        <v>0.0</v>
      </c>
      <c r="AD129" s="21">
        <v>0.0</v>
      </c>
      <c r="AE129" s="21">
        <v>0.0</v>
      </c>
      <c r="AF129" s="21">
        <v>0.0</v>
      </c>
      <c r="AG129" s="21">
        <v>0.0</v>
      </c>
      <c r="AH129" s="22">
        <v>0.0</v>
      </c>
      <c r="AI129" s="21">
        <v>0.0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3"/>
      <c r="B130" s="96">
        <v>45953.0</v>
      </c>
      <c r="C130" s="59" t="s">
        <v>104</v>
      </c>
      <c r="D130" s="59" t="s">
        <v>180</v>
      </c>
      <c r="E130" s="14" t="s">
        <v>144</v>
      </c>
      <c r="F130" s="110"/>
      <c r="G130" s="75" t="s">
        <v>24</v>
      </c>
      <c r="H130" s="110"/>
      <c r="I130" s="14" t="s">
        <v>60</v>
      </c>
      <c r="J130" s="4"/>
      <c r="K130" s="4" t="str">
        <f t="shared" si="19"/>
        <v/>
      </c>
      <c r="L130" s="16" t="str">
        <f t="shared" si="20"/>
        <v/>
      </c>
      <c r="M130" s="4"/>
      <c r="N130" s="16">
        <v>3.0</v>
      </c>
      <c r="O130" s="47" t="s">
        <v>56</v>
      </c>
      <c r="P130" s="16">
        <f t="shared" si="21"/>
        <v>0</v>
      </c>
      <c r="Q130" s="16">
        <f t="shared" si="22"/>
        <v>0</v>
      </c>
      <c r="R130" s="18">
        <f t="shared" si="23"/>
        <v>0</v>
      </c>
      <c r="S130" s="18">
        <f t="shared" si="24"/>
        <v>0</v>
      </c>
      <c r="T130" s="16">
        <f t="shared" si="25"/>
        <v>0</v>
      </c>
      <c r="U130" s="18">
        <f t="shared" si="26"/>
        <v>0</v>
      </c>
      <c r="V130" s="16">
        <f t="shared" si="27"/>
        <v>0</v>
      </c>
      <c r="W130" s="2"/>
      <c r="X130" s="2"/>
      <c r="Y130" s="2"/>
      <c r="Z130" s="2"/>
      <c r="AA130" s="20">
        <v>5.0</v>
      </c>
      <c r="AB130" s="21" t="s">
        <v>31</v>
      </c>
      <c r="AC130" s="21">
        <v>0.0</v>
      </c>
      <c r="AD130" s="21">
        <v>0.0</v>
      </c>
      <c r="AE130" s="21">
        <v>0.0</v>
      </c>
      <c r="AF130" s="21">
        <v>0.0</v>
      </c>
      <c r="AG130" s="21">
        <v>0.0</v>
      </c>
      <c r="AH130" s="22">
        <v>0.0</v>
      </c>
      <c r="AI130" s="21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3"/>
      <c r="B131" s="96">
        <v>45950.0</v>
      </c>
      <c r="C131" s="59" t="s">
        <v>100</v>
      </c>
      <c r="D131" s="59" t="s">
        <v>180</v>
      </c>
      <c r="E131" s="40" t="s">
        <v>31</v>
      </c>
      <c r="F131" s="110"/>
      <c r="G131" s="75" t="s">
        <v>24</v>
      </c>
      <c r="H131" s="110"/>
      <c r="I131" s="40" t="s">
        <v>162</v>
      </c>
      <c r="J131" s="4"/>
      <c r="K131" s="4" t="str">
        <f t="shared" si="19"/>
        <v/>
      </c>
      <c r="L131" s="16" t="str">
        <f t="shared" si="20"/>
        <v/>
      </c>
      <c r="M131" s="4"/>
      <c r="N131" s="16">
        <v>4.0</v>
      </c>
      <c r="O131" s="47" t="s">
        <v>144</v>
      </c>
      <c r="P131" s="16">
        <f t="shared" si="21"/>
        <v>0</v>
      </c>
      <c r="Q131" s="16">
        <f t="shared" si="22"/>
        <v>0</v>
      </c>
      <c r="R131" s="18">
        <f t="shared" si="23"/>
        <v>0</v>
      </c>
      <c r="S131" s="18">
        <f t="shared" si="24"/>
        <v>0</v>
      </c>
      <c r="T131" s="16">
        <f t="shared" si="25"/>
        <v>0</v>
      </c>
      <c r="U131" s="18">
        <f t="shared" si="26"/>
        <v>0</v>
      </c>
      <c r="V131" s="16">
        <f t="shared" si="27"/>
        <v>0</v>
      </c>
      <c r="W131" s="2"/>
      <c r="X131" s="2"/>
      <c r="Y131" s="2"/>
      <c r="Z131" s="2"/>
      <c r="AA131" s="20">
        <v>6.0</v>
      </c>
      <c r="AB131" s="21" t="s">
        <v>55</v>
      </c>
      <c r="AC131" s="21">
        <v>0.0</v>
      </c>
      <c r="AD131" s="21">
        <v>0.0</v>
      </c>
      <c r="AE131" s="21">
        <v>0.0</v>
      </c>
      <c r="AF131" s="21">
        <v>0.0</v>
      </c>
      <c r="AG131" s="21">
        <v>0.0</v>
      </c>
      <c r="AH131" s="22">
        <v>0.0</v>
      </c>
      <c r="AI131" s="21">
        <v>0.0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09"/>
      <c r="E132" s="14" t="s">
        <v>55</v>
      </c>
      <c r="F132" s="110"/>
      <c r="G132" s="75" t="s">
        <v>24</v>
      </c>
      <c r="H132" s="110"/>
      <c r="I132" s="14">
        <v>0.0</v>
      </c>
      <c r="J132" s="4"/>
      <c r="K132" s="4" t="str">
        <f t="shared" si="19"/>
        <v/>
      </c>
      <c r="L132" s="16" t="str">
        <f t="shared" si="20"/>
        <v/>
      </c>
      <c r="M132" s="4"/>
      <c r="N132" s="16">
        <v>5.0</v>
      </c>
      <c r="O132" s="47" t="s">
        <v>31</v>
      </c>
      <c r="P132" s="16">
        <f t="shared" si="21"/>
        <v>0</v>
      </c>
      <c r="Q132" s="16">
        <f t="shared" si="22"/>
        <v>0</v>
      </c>
      <c r="R132" s="18">
        <f t="shared" si="23"/>
        <v>0</v>
      </c>
      <c r="S132" s="18">
        <f t="shared" si="24"/>
        <v>0</v>
      </c>
      <c r="T132" s="16">
        <f t="shared" si="25"/>
        <v>0</v>
      </c>
      <c r="U132" s="18">
        <f t="shared" si="26"/>
        <v>0</v>
      </c>
      <c r="V132" s="16">
        <f t="shared" si="27"/>
        <v>0</v>
      </c>
      <c r="W132" s="2"/>
      <c r="X132" s="2"/>
      <c r="Y132" s="2"/>
      <c r="Z132" s="2"/>
      <c r="AA132" s="20">
        <v>7.0</v>
      </c>
      <c r="AB132" s="21" t="s">
        <v>162</v>
      </c>
      <c r="AC132" s="21">
        <v>0.0</v>
      </c>
      <c r="AD132" s="21">
        <v>0.0</v>
      </c>
      <c r="AE132" s="21">
        <v>0.0</v>
      </c>
      <c r="AF132" s="21">
        <v>0.0</v>
      </c>
      <c r="AG132" s="21">
        <v>0.0</v>
      </c>
      <c r="AH132" s="22">
        <v>0.0</v>
      </c>
      <c r="AI132" s="21">
        <v>0.0</v>
      </c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ht="15.75" customHeight="1">
      <c r="A133" s="10">
        <v>2.0</v>
      </c>
      <c r="B133" s="111"/>
      <c r="C133" s="30"/>
      <c r="D133" s="109"/>
      <c r="E133" s="40" t="s">
        <v>62</v>
      </c>
      <c r="F133" s="15"/>
      <c r="G133" s="75" t="s">
        <v>24</v>
      </c>
      <c r="H133" s="110"/>
      <c r="I133" s="40" t="s">
        <v>56</v>
      </c>
      <c r="J133" s="4"/>
      <c r="K133" s="4" t="str">
        <f t="shared" si="19"/>
        <v/>
      </c>
      <c r="L133" s="16" t="str">
        <f t="shared" si="20"/>
        <v/>
      </c>
      <c r="M133" s="4"/>
      <c r="N133" s="16">
        <v>6.0</v>
      </c>
      <c r="O133" s="47" t="s">
        <v>55</v>
      </c>
      <c r="P133" s="16">
        <f t="shared" si="21"/>
        <v>0</v>
      </c>
      <c r="Q133" s="16">
        <f t="shared" si="22"/>
        <v>0</v>
      </c>
      <c r="R133" s="18">
        <f t="shared" si="23"/>
        <v>0</v>
      </c>
      <c r="S133" s="18">
        <f t="shared" si="24"/>
        <v>0</v>
      </c>
      <c r="T133" s="16">
        <f t="shared" si="25"/>
        <v>0</v>
      </c>
      <c r="U133" s="18">
        <f t="shared" si="26"/>
        <v>0</v>
      </c>
      <c r="V133" s="16">
        <f t="shared" si="27"/>
        <v>0</v>
      </c>
      <c r="W133" s="2"/>
      <c r="X133" s="2"/>
      <c r="Y133" s="2"/>
      <c r="Z133" s="2"/>
      <c r="AA133" s="20">
        <v>8.0</v>
      </c>
      <c r="AB133" s="21" t="s">
        <v>60</v>
      </c>
      <c r="AC133" s="21">
        <v>0.0</v>
      </c>
      <c r="AD133" s="21">
        <v>0.0</v>
      </c>
      <c r="AE133" s="21">
        <v>0.0</v>
      </c>
      <c r="AF133" s="21">
        <v>0.0</v>
      </c>
      <c r="AG133" s="21">
        <v>0.0</v>
      </c>
      <c r="AH133" s="22">
        <v>0.0</v>
      </c>
      <c r="AI133" s="21">
        <v>0.0</v>
      </c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ht="15.75" customHeight="1">
      <c r="A134" s="23"/>
      <c r="B134" s="111"/>
      <c r="C134" s="30"/>
      <c r="D134" s="109"/>
      <c r="E134" s="14">
        <v>0.0</v>
      </c>
      <c r="F134" s="15"/>
      <c r="G134" s="75" t="s">
        <v>24</v>
      </c>
      <c r="H134" s="110"/>
      <c r="I134" s="14" t="s">
        <v>43</v>
      </c>
      <c r="J134" s="4"/>
      <c r="K134" s="4" t="str">
        <f t="shared" si="19"/>
        <v/>
      </c>
      <c r="L134" s="16" t="str">
        <f t="shared" si="20"/>
        <v/>
      </c>
      <c r="M134" s="4"/>
      <c r="N134" s="16">
        <v>7.0</v>
      </c>
      <c r="O134" s="47" t="s">
        <v>162</v>
      </c>
      <c r="P134" s="16">
        <f t="shared" si="21"/>
        <v>0</v>
      </c>
      <c r="Q134" s="16">
        <f t="shared" si="22"/>
        <v>0</v>
      </c>
      <c r="R134" s="18">
        <f t="shared" si="23"/>
        <v>0</v>
      </c>
      <c r="S134" s="18">
        <f t="shared" si="24"/>
        <v>0</v>
      </c>
      <c r="T134" s="16">
        <f t="shared" si="25"/>
        <v>0</v>
      </c>
      <c r="U134" s="18">
        <f t="shared" si="26"/>
        <v>0</v>
      </c>
      <c r="V134" s="16">
        <f t="shared" si="27"/>
        <v>0</v>
      </c>
      <c r="W134" s="2"/>
      <c r="X134" s="2"/>
      <c r="Y134" s="2"/>
      <c r="Z134" s="2"/>
      <c r="AA134" s="20">
        <v>9.0</v>
      </c>
      <c r="AB134" s="21" t="s">
        <v>112</v>
      </c>
      <c r="AC134" s="21">
        <v>0.0</v>
      </c>
      <c r="AD134" s="26">
        <v>0.0</v>
      </c>
      <c r="AE134" s="26">
        <v>0.0</v>
      </c>
      <c r="AF134" s="26">
        <v>0.0</v>
      </c>
      <c r="AG134" s="26">
        <v>0.0</v>
      </c>
      <c r="AH134" s="26">
        <v>0.0</v>
      </c>
      <c r="AI134" s="26">
        <v>0.0</v>
      </c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ht="15.75" customHeight="1">
      <c r="A135" s="23"/>
      <c r="B135" s="111"/>
      <c r="C135" s="30"/>
      <c r="D135" s="109"/>
      <c r="E135" s="14" t="s">
        <v>112</v>
      </c>
      <c r="F135" s="15"/>
      <c r="G135" s="75" t="s">
        <v>24</v>
      </c>
      <c r="H135" s="110"/>
      <c r="I135" s="14" t="s">
        <v>144</v>
      </c>
      <c r="J135" s="4"/>
      <c r="K135" s="4" t="str">
        <f t="shared" si="19"/>
        <v/>
      </c>
      <c r="L135" s="16" t="str">
        <f t="shared" si="20"/>
        <v/>
      </c>
      <c r="M135" s="4"/>
      <c r="N135" s="16">
        <v>8.0</v>
      </c>
      <c r="O135" s="47" t="s">
        <v>60</v>
      </c>
      <c r="P135" s="16">
        <f t="shared" si="21"/>
        <v>0</v>
      </c>
      <c r="Q135" s="16">
        <f t="shared" si="22"/>
        <v>0</v>
      </c>
      <c r="R135" s="18">
        <f t="shared" si="23"/>
        <v>0</v>
      </c>
      <c r="S135" s="18">
        <f t="shared" si="24"/>
        <v>0</v>
      </c>
      <c r="T135" s="16">
        <f t="shared" si="25"/>
        <v>0</v>
      </c>
      <c r="U135" s="18">
        <f t="shared" si="26"/>
        <v>0</v>
      </c>
      <c r="V135" s="16">
        <f t="shared" si="27"/>
        <v>0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ht="15.75" customHeight="1">
      <c r="A136" s="23"/>
      <c r="B136" s="111"/>
      <c r="C136" s="30"/>
      <c r="D136" s="109"/>
      <c r="E136" s="14" t="s">
        <v>60</v>
      </c>
      <c r="F136" s="15"/>
      <c r="G136" s="75" t="s">
        <v>24</v>
      </c>
      <c r="H136" s="110"/>
      <c r="I136" s="14" t="s">
        <v>31</v>
      </c>
      <c r="J136" s="4"/>
      <c r="K136" s="4" t="str">
        <f t="shared" si="19"/>
        <v/>
      </c>
      <c r="L136" s="16" t="str">
        <f t="shared" si="20"/>
        <v/>
      </c>
      <c r="M136" s="4"/>
      <c r="N136" s="16">
        <v>9.0</v>
      </c>
      <c r="O136" s="47" t="s">
        <v>112</v>
      </c>
      <c r="P136" s="16">
        <f t="shared" si="21"/>
        <v>0</v>
      </c>
      <c r="Q136" s="16">
        <f t="shared" si="22"/>
        <v>0</v>
      </c>
      <c r="R136" s="18">
        <f t="shared" si="23"/>
        <v>0</v>
      </c>
      <c r="S136" s="18">
        <f t="shared" si="24"/>
        <v>0</v>
      </c>
      <c r="T136" s="16">
        <f t="shared" si="25"/>
        <v>0</v>
      </c>
      <c r="U136" s="18">
        <f t="shared" si="26"/>
        <v>0</v>
      </c>
      <c r="V136" s="16">
        <f t="shared" si="27"/>
        <v>0</v>
      </c>
      <c r="W136" s="2"/>
      <c r="X136" s="2"/>
      <c r="Y136" s="2"/>
      <c r="Z136" s="2"/>
      <c r="AA136" s="73" t="s">
        <v>108</v>
      </c>
      <c r="AD136" s="2"/>
      <c r="AE136" s="2"/>
      <c r="AF136" s="36"/>
      <c r="AG136" s="36"/>
      <c r="AH136" s="36"/>
      <c r="AI136" s="3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ht="15.75" customHeight="1">
      <c r="A137" s="28"/>
      <c r="B137" s="111"/>
      <c r="C137" s="15"/>
      <c r="D137" s="109"/>
      <c r="E137" s="14" t="s">
        <v>162</v>
      </c>
      <c r="F137" s="15"/>
      <c r="G137" s="75" t="s">
        <v>24</v>
      </c>
      <c r="H137" s="110"/>
      <c r="I137" s="14" t="s">
        <v>55</v>
      </c>
      <c r="J137" s="4"/>
      <c r="K137" s="4" t="str">
        <f t="shared" si="19"/>
        <v/>
      </c>
      <c r="L137" s="16" t="str">
        <f t="shared" si="20"/>
        <v/>
      </c>
      <c r="M137" s="4"/>
      <c r="N137" s="16"/>
      <c r="O137" s="112"/>
      <c r="P137" s="16"/>
      <c r="Q137" s="16"/>
      <c r="R137" s="18"/>
      <c r="S137" s="18"/>
      <c r="T137" s="16"/>
      <c r="U137" s="18"/>
      <c r="V137" s="16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ht="15.75" customHeight="1">
      <c r="A138" s="10">
        <v>3.0</v>
      </c>
      <c r="B138" s="29"/>
      <c r="C138" s="15"/>
      <c r="D138" s="109"/>
      <c r="E138" s="14" t="s">
        <v>144</v>
      </c>
      <c r="F138" s="110"/>
      <c r="G138" s="75" t="s">
        <v>24</v>
      </c>
      <c r="H138" s="110"/>
      <c r="I138" s="14" t="s">
        <v>62</v>
      </c>
      <c r="J138" s="4"/>
      <c r="K138" s="4" t="str">
        <f t="shared" si="19"/>
        <v/>
      </c>
      <c r="L138" s="16" t="str">
        <f t="shared" si="20"/>
        <v/>
      </c>
      <c r="M138" s="4"/>
      <c r="N138" s="4"/>
      <c r="O138" s="4"/>
      <c r="P138" s="4"/>
      <c r="Q138" s="4"/>
      <c r="R138" s="4"/>
      <c r="S138" s="18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ht="15.75" customHeight="1">
      <c r="A139" s="23"/>
      <c r="B139" s="29"/>
      <c r="C139" s="15"/>
      <c r="D139" s="109"/>
      <c r="E139" s="40" t="s">
        <v>56</v>
      </c>
      <c r="F139" s="110"/>
      <c r="G139" s="75" t="s">
        <v>24</v>
      </c>
      <c r="H139" s="110"/>
      <c r="I139" s="40" t="s">
        <v>43</v>
      </c>
      <c r="J139" s="4"/>
      <c r="K139" s="4" t="str">
        <f t="shared" si="19"/>
        <v/>
      </c>
      <c r="L139" s="16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ht="15.75" customHeight="1">
      <c r="A140" s="23"/>
      <c r="B140" s="29"/>
      <c r="C140" s="15"/>
      <c r="D140" s="109"/>
      <c r="E140" s="14" t="s">
        <v>31</v>
      </c>
      <c r="F140" s="110"/>
      <c r="G140" s="75" t="s">
        <v>24</v>
      </c>
      <c r="H140" s="110"/>
      <c r="I140" s="14" t="s">
        <v>112</v>
      </c>
      <c r="J140" s="4"/>
      <c r="K140" s="4" t="str">
        <f t="shared" si="19"/>
        <v/>
      </c>
      <c r="L140" s="16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ht="15.75" customHeight="1">
      <c r="A141" s="23"/>
      <c r="B141" s="29"/>
      <c r="C141" s="15"/>
      <c r="D141" s="109"/>
      <c r="E141" s="14" t="s">
        <v>55</v>
      </c>
      <c r="F141" s="110"/>
      <c r="G141" s="75" t="s">
        <v>24</v>
      </c>
      <c r="H141" s="110"/>
      <c r="I141" s="14" t="s">
        <v>60</v>
      </c>
      <c r="J141" s="4"/>
      <c r="K141" s="4" t="str">
        <f t="shared" si="19"/>
        <v/>
      </c>
      <c r="L141" s="16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ht="15.75" customHeight="1">
      <c r="A142" s="28"/>
      <c r="B142" s="29"/>
      <c r="C142" s="15"/>
      <c r="D142" s="109"/>
      <c r="E142" s="40">
        <v>0.0</v>
      </c>
      <c r="F142" s="110"/>
      <c r="G142" s="75" t="s">
        <v>24</v>
      </c>
      <c r="H142" s="110"/>
      <c r="I142" s="40" t="s">
        <v>162</v>
      </c>
      <c r="J142" s="4"/>
      <c r="K142" s="4" t="str">
        <f t="shared" si="19"/>
        <v/>
      </c>
      <c r="L142" s="16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5"/>
      <c r="D143" s="15"/>
      <c r="E143" s="14" t="s">
        <v>62</v>
      </c>
      <c r="F143" s="110"/>
      <c r="G143" s="75" t="s">
        <v>24</v>
      </c>
      <c r="H143" s="110"/>
      <c r="I143" s="14" t="s">
        <v>31</v>
      </c>
      <c r="J143" s="37"/>
      <c r="K143" s="4" t="str">
        <f t="shared" si="19"/>
        <v/>
      </c>
      <c r="L143" s="16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3"/>
      <c r="B144" s="29"/>
      <c r="C144" s="15"/>
      <c r="D144" s="15"/>
      <c r="E144" s="14" t="s">
        <v>43</v>
      </c>
      <c r="F144" s="110"/>
      <c r="G144" s="75" t="s">
        <v>24</v>
      </c>
      <c r="H144" s="110"/>
      <c r="I144" s="14" t="s">
        <v>144</v>
      </c>
      <c r="J144" s="4"/>
      <c r="K144" s="4" t="str">
        <f t="shared" si="19"/>
        <v/>
      </c>
      <c r="L144" s="16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3"/>
      <c r="B145" s="111"/>
      <c r="C145" s="15"/>
      <c r="D145" s="15"/>
      <c r="E145" s="14" t="s">
        <v>56</v>
      </c>
      <c r="F145" s="110"/>
      <c r="G145" s="75" t="s">
        <v>24</v>
      </c>
      <c r="H145" s="110"/>
      <c r="I145" s="14">
        <v>0.0</v>
      </c>
      <c r="J145" s="4"/>
      <c r="K145" s="4" t="str">
        <f t="shared" si="19"/>
        <v/>
      </c>
      <c r="L145" s="16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3"/>
      <c r="B146" s="29"/>
      <c r="C146" s="15"/>
      <c r="D146" s="15"/>
      <c r="E146" s="14" t="s">
        <v>112</v>
      </c>
      <c r="F146" s="110"/>
      <c r="G146" s="75" t="s">
        <v>24</v>
      </c>
      <c r="H146" s="110"/>
      <c r="I146" s="14" t="s">
        <v>55</v>
      </c>
      <c r="J146" s="4"/>
      <c r="K146" s="4" t="str">
        <f t="shared" si="19"/>
        <v/>
      </c>
      <c r="L146" s="16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5"/>
      <c r="D147" s="15"/>
      <c r="E147" s="40" t="s">
        <v>60</v>
      </c>
      <c r="F147" s="110"/>
      <c r="G147" s="75" t="s">
        <v>24</v>
      </c>
      <c r="H147" s="110"/>
      <c r="I147" s="40" t="s">
        <v>162</v>
      </c>
      <c r="J147" s="4"/>
      <c r="K147" s="4" t="str">
        <f t="shared" si="19"/>
        <v/>
      </c>
      <c r="L147" s="16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1"/>
      <c r="C148" s="15"/>
      <c r="D148" s="109"/>
      <c r="E148" s="14" t="s">
        <v>55</v>
      </c>
      <c r="F148" s="110"/>
      <c r="G148" s="75" t="s">
        <v>24</v>
      </c>
      <c r="H148" s="110"/>
      <c r="I148" s="14" t="s">
        <v>62</v>
      </c>
      <c r="J148" s="4"/>
      <c r="K148" s="4" t="str">
        <f t="shared" si="19"/>
        <v/>
      </c>
      <c r="L148" s="16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3"/>
      <c r="B149" s="111"/>
      <c r="C149" s="15"/>
      <c r="D149" s="109"/>
      <c r="E149" s="14" t="s">
        <v>31</v>
      </c>
      <c r="F149" s="110"/>
      <c r="G149" s="75" t="s">
        <v>24</v>
      </c>
      <c r="H149" s="110"/>
      <c r="I149" s="14" t="s">
        <v>43</v>
      </c>
      <c r="J149" s="4"/>
      <c r="K149" s="4" t="str">
        <f t="shared" si="19"/>
        <v/>
      </c>
      <c r="L149" s="16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3"/>
      <c r="B150" s="111"/>
      <c r="C150" s="15"/>
      <c r="D150" s="109"/>
      <c r="E150" s="14" t="s">
        <v>144</v>
      </c>
      <c r="F150" s="110"/>
      <c r="G150" s="75" t="s">
        <v>24</v>
      </c>
      <c r="H150" s="110"/>
      <c r="I150" s="14" t="s">
        <v>56</v>
      </c>
      <c r="J150" s="4"/>
      <c r="K150" s="4" t="str">
        <f t="shared" si="19"/>
        <v/>
      </c>
      <c r="L150" s="16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3"/>
      <c r="B151" s="111"/>
      <c r="C151" s="15"/>
      <c r="D151" s="109"/>
      <c r="E151" s="40" t="s">
        <v>162</v>
      </c>
      <c r="F151" s="110"/>
      <c r="G151" s="75" t="s">
        <v>24</v>
      </c>
      <c r="H151" s="110"/>
      <c r="I151" s="40" t="s">
        <v>112</v>
      </c>
      <c r="J151" s="4"/>
      <c r="K151" s="4" t="str">
        <f t="shared" si="19"/>
        <v/>
      </c>
      <c r="L151" s="16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1"/>
      <c r="C152" s="30"/>
      <c r="D152" s="109"/>
      <c r="E152" s="40">
        <v>0.0</v>
      </c>
      <c r="F152" s="110"/>
      <c r="G152" s="75" t="s">
        <v>24</v>
      </c>
      <c r="H152" s="110"/>
      <c r="I152" s="40" t="s">
        <v>60</v>
      </c>
      <c r="J152" s="4"/>
      <c r="K152" s="4" t="str">
        <f t="shared" si="19"/>
        <v/>
      </c>
      <c r="L152" s="16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1"/>
      <c r="C153" s="15"/>
      <c r="D153" s="109"/>
      <c r="E153" s="40" t="s">
        <v>62</v>
      </c>
      <c r="F153" s="110"/>
      <c r="G153" s="75" t="s">
        <v>24</v>
      </c>
      <c r="H153" s="110"/>
      <c r="I153" s="40" t="s">
        <v>162</v>
      </c>
      <c r="J153" s="4"/>
      <c r="K153" s="4" t="str">
        <f t="shared" si="19"/>
        <v/>
      </c>
      <c r="L153" s="16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3"/>
      <c r="B154" s="111"/>
      <c r="C154" s="15"/>
      <c r="D154" s="109"/>
      <c r="E154" s="14" t="s">
        <v>43</v>
      </c>
      <c r="F154" s="110"/>
      <c r="G154" s="75" t="s">
        <v>24</v>
      </c>
      <c r="H154" s="110"/>
      <c r="I154" s="14" t="s">
        <v>55</v>
      </c>
      <c r="J154" s="4"/>
      <c r="K154" s="4" t="str">
        <f t="shared" si="19"/>
        <v/>
      </c>
      <c r="L154" s="16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3"/>
      <c r="B155" s="111"/>
      <c r="C155" s="15"/>
      <c r="D155" s="109"/>
      <c r="E155" s="14" t="s">
        <v>56</v>
      </c>
      <c r="F155" s="110"/>
      <c r="G155" s="75" t="s">
        <v>24</v>
      </c>
      <c r="H155" s="110"/>
      <c r="I155" s="14" t="s">
        <v>31</v>
      </c>
      <c r="J155" s="4"/>
      <c r="K155" s="4" t="str">
        <f t="shared" si="19"/>
        <v/>
      </c>
      <c r="L155" s="16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3"/>
      <c r="B156" s="111"/>
      <c r="C156" s="15"/>
      <c r="D156" s="109"/>
      <c r="E156" s="14" t="s">
        <v>144</v>
      </c>
      <c r="F156" s="110"/>
      <c r="G156" s="75" t="s">
        <v>24</v>
      </c>
      <c r="H156" s="110"/>
      <c r="I156" s="14">
        <v>0.0</v>
      </c>
      <c r="J156" s="2"/>
      <c r="K156" s="4" t="str">
        <f t="shared" si="19"/>
        <v/>
      </c>
      <c r="L156" s="16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1"/>
      <c r="C157" s="15"/>
      <c r="D157" s="109"/>
      <c r="E157" s="14" t="s">
        <v>112</v>
      </c>
      <c r="F157" s="110"/>
      <c r="G157" s="75" t="s">
        <v>24</v>
      </c>
      <c r="H157" s="110"/>
      <c r="I157" s="14" t="s">
        <v>60</v>
      </c>
      <c r="J157" s="36"/>
      <c r="K157" s="4" t="str">
        <f t="shared" si="19"/>
        <v/>
      </c>
      <c r="L157" s="16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1"/>
      <c r="C158" s="15"/>
      <c r="D158" s="109"/>
      <c r="E158" s="14" t="s">
        <v>60</v>
      </c>
      <c r="F158" s="110"/>
      <c r="G158" s="75" t="s">
        <v>24</v>
      </c>
      <c r="H158" s="110"/>
      <c r="I158" s="14" t="s">
        <v>62</v>
      </c>
      <c r="J158" s="36"/>
      <c r="K158" s="4" t="str">
        <f t="shared" si="19"/>
        <v/>
      </c>
      <c r="L158" s="16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3"/>
      <c r="B159" s="111"/>
      <c r="C159" s="15"/>
      <c r="D159" s="109"/>
      <c r="E159" s="14" t="s">
        <v>162</v>
      </c>
      <c r="F159" s="110"/>
      <c r="G159" s="75" t="s">
        <v>24</v>
      </c>
      <c r="H159" s="110"/>
      <c r="I159" s="14" t="s">
        <v>43</v>
      </c>
      <c r="J159" s="36"/>
      <c r="K159" s="4" t="str">
        <f t="shared" si="19"/>
        <v/>
      </c>
      <c r="L159" s="16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3"/>
      <c r="B160" s="111"/>
      <c r="C160" s="15"/>
      <c r="D160" s="109"/>
      <c r="E160" s="14" t="s">
        <v>55</v>
      </c>
      <c r="F160" s="110"/>
      <c r="G160" s="75" t="s">
        <v>24</v>
      </c>
      <c r="H160" s="110"/>
      <c r="I160" s="14" t="s">
        <v>56</v>
      </c>
      <c r="J160" s="36"/>
      <c r="K160" s="4" t="str">
        <f t="shared" si="19"/>
        <v/>
      </c>
      <c r="L160" s="16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3"/>
      <c r="B161" s="111"/>
      <c r="C161" s="15"/>
      <c r="D161" s="109"/>
      <c r="E161" s="14" t="s">
        <v>31</v>
      </c>
      <c r="F161" s="110"/>
      <c r="G161" s="75" t="s">
        <v>24</v>
      </c>
      <c r="H161" s="110"/>
      <c r="I161" s="14" t="s">
        <v>144</v>
      </c>
      <c r="J161" s="36"/>
      <c r="K161" s="4" t="str">
        <f t="shared" si="19"/>
        <v/>
      </c>
      <c r="L161" s="16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5"/>
      <c r="D162" s="109"/>
      <c r="E162" s="14">
        <v>0.0</v>
      </c>
      <c r="F162" s="110"/>
      <c r="G162" s="75" t="s">
        <v>24</v>
      </c>
      <c r="H162" s="110"/>
      <c r="I162" s="14" t="s">
        <v>112</v>
      </c>
      <c r="J162" s="36"/>
      <c r="K162" s="4" t="str">
        <f t="shared" si="19"/>
        <v/>
      </c>
      <c r="L162" s="16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5"/>
      <c r="D163" s="109"/>
      <c r="E163" s="14" t="s">
        <v>62</v>
      </c>
      <c r="F163" s="110"/>
      <c r="G163" s="75" t="s">
        <v>24</v>
      </c>
      <c r="H163" s="110"/>
      <c r="I163" s="14" t="s">
        <v>112</v>
      </c>
      <c r="J163" s="36"/>
      <c r="K163" s="4" t="str">
        <f t="shared" si="19"/>
        <v/>
      </c>
      <c r="L163" s="16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3"/>
      <c r="B164" s="29"/>
      <c r="C164" s="15"/>
      <c r="D164" s="109"/>
      <c r="E164" s="14" t="s">
        <v>43</v>
      </c>
      <c r="F164" s="110"/>
      <c r="G164" s="75" t="s">
        <v>24</v>
      </c>
      <c r="H164" s="110"/>
      <c r="I164" s="14" t="s">
        <v>60</v>
      </c>
      <c r="J164" s="36"/>
      <c r="K164" s="4" t="str">
        <f t="shared" si="19"/>
        <v/>
      </c>
      <c r="L164" s="16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3"/>
      <c r="B165" s="29"/>
      <c r="C165" s="15"/>
      <c r="D165" s="109"/>
      <c r="E165" s="14" t="s">
        <v>56</v>
      </c>
      <c r="F165" s="110"/>
      <c r="G165" s="75" t="s">
        <v>24</v>
      </c>
      <c r="H165" s="110"/>
      <c r="I165" s="14" t="s">
        <v>162</v>
      </c>
      <c r="J165" s="36"/>
      <c r="K165" s="4" t="str">
        <f t="shared" si="19"/>
        <v/>
      </c>
      <c r="L165" s="16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3"/>
      <c r="B166" s="111"/>
      <c r="C166" s="15"/>
      <c r="D166" s="109"/>
      <c r="E166" s="14" t="s">
        <v>144</v>
      </c>
      <c r="F166" s="110"/>
      <c r="G166" s="75" t="s">
        <v>24</v>
      </c>
      <c r="H166" s="110"/>
      <c r="I166" s="14" t="s">
        <v>55</v>
      </c>
      <c r="J166" s="36"/>
      <c r="K166" s="4" t="str">
        <f t="shared" si="19"/>
        <v/>
      </c>
      <c r="L166" s="16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5"/>
      <c r="D167" s="109"/>
      <c r="E167" s="14" t="s">
        <v>31</v>
      </c>
      <c r="F167" s="110"/>
      <c r="G167" s="75" t="s">
        <v>24</v>
      </c>
      <c r="H167" s="110"/>
      <c r="I167" s="14">
        <v>0.0</v>
      </c>
      <c r="J167" s="36"/>
      <c r="K167" s="4" t="str">
        <f t="shared" si="19"/>
        <v/>
      </c>
      <c r="L167" s="16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5"/>
      <c r="D168" s="109"/>
      <c r="E168" s="14">
        <v>0.0</v>
      </c>
      <c r="F168" s="110"/>
      <c r="G168" s="75" t="s">
        <v>24</v>
      </c>
      <c r="H168" s="110"/>
      <c r="I168" s="14" t="s">
        <v>62</v>
      </c>
      <c r="J168" s="36"/>
      <c r="K168" s="4" t="str">
        <f t="shared" si="19"/>
        <v/>
      </c>
      <c r="L168" s="16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3"/>
      <c r="B169" s="111"/>
      <c r="C169" s="15"/>
      <c r="D169" s="109"/>
      <c r="E169" s="14" t="s">
        <v>112</v>
      </c>
      <c r="F169" s="110"/>
      <c r="G169" s="75" t="s">
        <v>24</v>
      </c>
      <c r="H169" s="110"/>
      <c r="I169" s="14" t="s">
        <v>43</v>
      </c>
      <c r="J169" s="36"/>
      <c r="K169" s="4" t="str">
        <f t="shared" si="19"/>
        <v/>
      </c>
      <c r="L169" s="16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3"/>
      <c r="B170" s="111"/>
      <c r="C170" s="15"/>
      <c r="D170" s="109"/>
      <c r="E170" s="14" t="s">
        <v>60</v>
      </c>
      <c r="F170" s="110"/>
      <c r="G170" s="75" t="s">
        <v>24</v>
      </c>
      <c r="H170" s="110"/>
      <c r="I170" s="14" t="s">
        <v>56</v>
      </c>
      <c r="J170" s="36"/>
      <c r="K170" s="4" t="str">
        <f t="shared" si="19"/>
        <v/>
      </c>
      <c r="L170" s="16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3"/>
      <c r="B171" s="111"/>
      <c r="C171" s="15"/>
      <c r="D171" s="109"/>
      <c r="E171" s="14" t="s">
        <v>162</v>
      </c>
      <c r="F171" s="110"/>
      <c r="G171" s="75" t="s">
        <v>24</v>
      </c>
      <c r="H171" s="110"/>
      <c r="I171" s="14" t="s">
        <v>144</v>
      </c>
      <c r="J171" s="36"/>
      <c r="K171" s="4" t="str">
        <f t="shared" si="19"/>
        <v/>
      </c>
      <c r="L171" s="16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1"/>
      <c r="C172" s="15"/>
      <c r="D172" s="109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6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5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6" t="str">
        <f t="shared" ref="L179:L181" si="29">IF(H179="","",IFS(F179&lt;H179,3,F179=H179,1,H179&lt;F179,0))</f>
        <v/>
      </c>
      <c r="M179" s="4"/>
      <c r="N179" s="16">
        <v>1.0</v>
      </c>
      <c r="O179" s="70" t="s">
        <v>126</v>
      </c>
      <c r="P179" s="16">
        <f t="shared" ref="P179:P181" si="30">SUMIF(E$179:E$181,O179,K$179:K$181)+SUMIF(I$179:I$181,O179,L$179:L$181)</f>
        <v>0</v>
      </c>
      <c r="Q179" s="16">
        <f t="shared" ref="Q179:Q181" si="31">COUNTIFS(E$179:E$181,O179,K$179:K$181,2)+COUNTIFS(I$179:I$181,O179,L$179:L$181,2)</f>
        <v>0</v>
      </c>
      <c r="R179" s="18">
        <f t="shared" ref="R179:R181" si="32">COUNTIFS(E$179:E$181,O179,K$179:K$181,1)+COUNTIFS(I$179:I$181,O179,L$179:L$181,1)</f>
        <v>0</v>
      </c>
      <c r="S179" s="18">
        <f t="shared" ref="S179:S181" si="33">COUNTIFS(E$179:E$181,O179,K$179:K$181,0)+COUNTIFS(I$179:I$181,O179,L$179:L$181,0)</f>
        <v>0</v>
      </c>
      <c r="T179" s="16">
        <f t="shared" ref="T179:T181" si="34">SUMIF(E$179:E$181,O179,F$179:F$181)+SUMIF(I$179:I$181,O179,H$179:H$181)</f>
        <v>0</v>
      </c>
      <c r="U179" s="18">
        <f t="shared" ref="U179:U181" si="35">SUMIF(E$179:E$181,O179,H$179:H$181)+SUMIF(I$179:I$181,O179,F$179:F$181)</f>
        <v>0</v>
      </c>
      <c r="V179" s="16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1">
        <v>0.0</v>
      </c>
      <c r="AD179" s="21">
        <v>0.0</v>
      </c>
      <c r="AE179" s="22">
        <v>0.0</v>
      </c>
      <c r="AF179" s="22">
        <v>0.0</v>
      </c>
      <c r="AG179" s="21">
        <v>0.0</v>
      </c>
      <c r="AH179" s="22">
        <v>0.0</v>
      </c>
      <c r="AI179" s="21">
        <v>0.0</v>
      </c>
      <c r="AJ179" s="21"/>
      <c r="AK179" s="22"/>
      <c r="AL179" s="21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5" t="s">
        <v>24</v>
      </c>
      <c r="H180" s="13"/>
      <c r="I180" s="40" t="s">
        <v>128</v>
      </c>
      <c r="J180" s="4"/>
      <c r="K180" s="4" t="str">
        <f t="shared" si="28"/>
        <v/>
      </c>
      <c r="L180" s="16" t="str">
        <f t="shared" si="29"/>
        <v/>
      </c>
      <c r="M180" s="4"/>
      <c r="N180" s="16">
        <v>2.0</v>
      </c>
      <c r="O180" s="70" t="s">
        <v>127</v>
      </c>
      <c r="P180" s="16">
        <f t="shared" si="30"/>
        <v>0</v>
      </c>
      <c r="Q180" s="16">
        <f t="shared" si="31"/>
        <v>0</v>
      </c>
      <c r="R180" s="18">
        <f t="shared" si="32"/>
        <v>0</v>
      </c>
      <c r="S180" s="18">
        <f t="shared" si="33"/>
        <v>0</v>
      </c>
      <c r="T180" s="16">
        <f t="shared" si="34"/>
        <v>0</v>
      </c>
      <c r="U180" s="18">
        <f t="shared" si="35"/>
        <v>0</v>
      </c>
      <c r="V180" s="16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1">
        <v>0.0</v>
      </c>
      <c r="AD180" s="21">
        <v>0.0</v>
      </c>
      <c r="AE180" s="22">
        <v>0.0</v>
      </c>
      <c r="AF180" s="22">
        <v>0.0</v>
      </c>
      <c r="AG180" s="21">
        <v>0.0</v>
      </c>
      <c r="AH180" s="22">
        <v>0.0</v>
      </c>
      <c r="AI180" s="21">
        <v>0.0</v>
      </c>
      <c r="AJ180" s="21"/>
      <c r="AK180" s="22"/>
      <c r="AL180" s="21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5" t="s">
        <v>24</v>
      </c>
      <c r="H181" s="13"/>
      <c r="I181" s="40" t="s">
        <v>126</v>
      </c>
      <c r="J181" s="4"/>
      <c r="K181" s="4" t="str">
        <f t="shared" si="28"/>
        <v/>
      </c>
      <c r="L181" s="16" t="str">
        <f t="shared" si="29"/>
        <v/>
      </c>
      <c r="M181" s="4"/>
      <c r="N181" s="16">
        <v>3.0</v>
      </c>
      <c r="O181" s="70" t="s">
        <v>128</v>
      </c>
      <c r="P181" s="16">
        <f t="shared" si="30"/>
        <v>0</v>
      </c>
      <c r="Q181" s="16">
        <f t="shared" si="31"/>
        <v>0</v>
      </c>
      <c r="R181" s="18">
        <f t="shared" si="32"/>
        <v>0</v>
      </c>
      <c r="S181" s="18">
        <f t="shared" si="33"/>
        <v>0</v>
      </c>
      <c r="T181" s="16">
        <f t="shared" si="34"/>
        <v>0</v>
      </c>
      <c r="U181" s="18">
        <f t="shared" si="35"/>
        <v>0</v>
      </c>
      <c r="V181" s="16">
        <f t="shared" si="36"/>
        <v>0</v>
      </c>
      <c r="W181" s="56"/>
      <c r="X181" s="56"/>
      <c r="Y181" s="56"/>
      <c r="Z181" s="56"/>
      <c r="AA181" s="20">
        <v>3.0</v>
      </c>
      <c r="AB181" s="63" t="s">
        <v>128</v>
      </c>
      <c r="AC181" s="21">
        <v>0.0</v>
      </c>
      <c r="AD181" s="21">
        <v>0.0</v>
      </c>
      <c r="AE181" s="22">
        <v>0.0</v>
      </c>
      <c r="AF181" s="22">
        <v>0.0</v>
      </c>
      <c r="AG181" s="21">
        <v>0.0</v>
      </c>
      <c r="AH181" s="22">
        <v>0.0</v>
      </c>
      <c r="AI181" s="21">
        <v>0.0</v>
      </c>
      <c r="AJ181" s="21"/>
      <c r="AK181" s="22"/>
      <c r="AL181" s="21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5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3"/>
      <c r="B189" s="39"/>
      <c r="C189" s="12"/>
      <c r="D189" s="12"/>
      <c r="E189" s="40" t="s">
        <v>71</v>
      </c>
      <c r="F189" s="30"/>
      <c r="G189" s="15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3"/>
      <c r="B190" s="39"/>
      <c r="C190" s="12"/>
      <c r="D190" s="12"/>
      <c r="E190" s="40" t="s">
        <v>73</v>
      </c>
      <c r="F190" s="30"/>
      <c r="G190" s="15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5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5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3"/>
      <c r="B193" s="42"/>
      <c r="C193" s="30"/>
      <c r="D193" s="12"/>
      <c r="E193" s="43" t="s">
        <v>80</v>
      </c>
      <c r="F193" s="13"/>
      <c r="G193" s="15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5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5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4:AC84"/>
    <mergeCell ref="AA85:AC85"/>
    <mergeCell ref="AA86:AC93"/>
    <mergeCell ref="AD86:AE93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3" t="s">
        <v>189</v>
      </c>
      <c r="I1" s="114"/>
      <c r="AA1" s="3"/>
      <c r="AB1" s="114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30"/>
      <c r="G3" s="30" t="s">
        <v>24</v>
      </c>
      <c r="H3" s="30"/>
      <c r="I3" s="14" t="s">
        <v>25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23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Fisioterapia</v>
      </c>
      <c r="AC3" s="21">
        <v>0.0</v>
      </c>
      <c r="AD3" s="21">
        <v>0.0</v>
      </c>
      <c r="AE3" s="21"/>
      <c r="AF3" s="22">
        <v>0.0</v>
      </c>
      <c r="AG3" s="21">
        <v>0.0</v>
      </c>
      <c r="AH3" s="22">
        <v>0.0</v>
      </c>
      <c r="AI3" s="21">
        <v>0.0</v>
      </c>
    </row>
    <row r="4" ht="15.75" customHeight="1">
      <c r="A4" s="23"/>
      <c r="B4" s="11">
        <v>45946.0</v>
      </c>
      <c r="C4" s="12" t="s">
        <v>53</v>
      </c>
      <c r="D4" s="12" t="s">
        <v>22</v>
      </c>
      <c r="E4" s="14" t="s">
        <v>31</v>
      </c>
      <c r="F4" s="30"/>
      <c r="G4" s="30" t="s">
        <v>24</v>
      </c>
      <c r="H4" s="30"/>
      <c r="I4" s="14" t="s">
        <v>116</v>
      </c>
      <c r="J4" s="115"/>
      <c r="K4" s="116" t="str">
        <f t="shared" si="1"/>
        <v/>
      </c>
      <c r="L4" s="117" t="str">
        <f t="shared" si="2"/>
        <v/>
      </c>
      <c r="M4" s="115"/>
      <c r="N4" s="117">
        <v>2.0</v>
      </c>
      <c r="O4" s="118" t="s">
        <v>162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162</v>
      </c>
      <c r="AC4" s="21">
        <v>0.0</v>
      </c>
      <c r="AD4" s="21">
        <v>0.0</v>
      </c>
      <c r="AE4" s="21"/>
      <c r="AF4" s="22">
        <v>0.0</v>
      </c>
      <c r="AG4" s="21">
        <v>0.0</v>
      </c>
      <c r="AH4" s="22">
        <v>0.0</v>
      </c>
      <c r="AI4" s="21">
        <v>0.0</v>
      </c>
    </row>
    <row r="5" ht="15.75" customHeight="1">
      <c r="A5" s="23"/>
      <c r="B5" s="11">
        <v>45946.0</v>
      </c>
      <c r="C5" s="12" t="s">
        <v>53</v>
      </c>
      <c r="D5" s="12" t="s">
        <v>22</v>
      </c>
      <c r="E5" s="14" t="s">
        <v>32</v>
      </c>
      <c r="F5" s="30"/>
      <c r="G5" s="30" t="s">
        <v>24</v>
      </c>
      <c r="H5" s="30"/>
      <c r="I5" s="14" t="s">
        <v>183</v>
      </c>
      <c r="J5" s="115"/>
      <c r="K5" s="116" t="str">
        <f t="shared" si="1"/>
        <v/>
      </c>
      <c r="L5" s="117" t="str">
        <f t="shared" si="2"/>
        <v/>
      </c>
      <c r="M5" s="115"/>
      <c r="N5" s="117">
        <v>3.0</v>
      </c>
      <c r="O5" s="118" t="s">
        <v>25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25</v>
      </c>
      <c r="AC5" s="21">
        <v>0.0</v>
      </c>
      <c r="AD5" s="21">
        <v>0.0</v>
      </c>
      <c r="AE5" s="21"/>
      <c r="AF5" s="22">
        <v>0.0</v>
      </c>
      <c r="AG5" s="21">
        <v>0.0</v>
      </c>
      <c r="AH5" s="22">
        <v>0.0</v>
      </c>
      <c r="AI5" s="21">
        <v>0.0</v>
      </c>
    </row>
    <row r="6" ht="15.75" customHeight="1">
      <c r="A6" s="23"/>
      <c r="B6" s="11">
        <v>45946.0</v>
      </c>
      <c r="C6" s="12" t="s">
        <v>21</v>
      </c>
      <c r="D6" s="12" t="s">
        <v>22</v>
      </c>
      <c r="E6" s="14" t="s">
        <v>36</v>
      </c>
      <c r="F6" s="30"/>
      <c r="G6" s="30" t="s">
        <v>24</v>
      </c>
      <c r="H6" s="30"/>
      <c r="I6" s="14" t="s">
        <v>42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113</v>
      </c>
      <c r="P6" s="117">
        <f t="shared" si="3"/>
        <v>0</v>
      </c>
      <c r="Q6" s="119">
        <f t="shared" si="4"/>
        <v>0</v>
      </c>
      <c r="R6" s="119"/>
      <c r="S6" s="120">
        <f t="shared" si="5"/>
        <v>0</v>
      </c>
      <c r="T6" s="117">
        <f t="shared" si="6"/>
        <v>0</v>
      </c>
      <c r="U6" s="120">
        <f t="shared" si="7"/>
        <v>0</v>
      </c>
      <c r="V6" s="117">
        <f t="shared" si="8"/>
        <v>0</v>
      </c>
      <c r="AA6" s="20" t="s">
        <v>41</v>
      </c>
      <c r="AB6" s="63" t="s">
        <v>113</v>
      </c>
      <c r="AC6" s="21">
        <v>0.0</v>
      </c>
      <c r="AD6" s="21">
        <v>0.0</v>
      </c>
      <c r="AE6" s="21"/>
      <c r="AF6" s="22">
        <v>0.0</v>
      </c>
      <c r="AG6" s="21">
        <v>0.0</v>
      </c>
      <c r="AH6" s="22">
        <v>0.0</v>
      </c>
      <c r="AI6" s="21">
        <v>0.0</v>
      </c>
    </row>
    <row r="7" ht="15.75" customHeight="1">
      <c r="A7" s="23"/>
      <c r="B7" s="11">
        <v>45946.0</v>
      </c>
      <c r="C7" s="12" t="s">
        <v>21</v>
      </c>
      <c r="D7" s="12" t="s">
        <v>22</v>
      </c>
      <c r="E7" s="14" t="s">
        <v>113</v>
      </c>
      <c r="F7" s="30"/>
      <c r="G7" s="30" t="s">
        <v>24</v>
      </c>
      <c r="H7" s="30"/>
      <c r="I7" s="14" t="s">
        <v>61</v>
      </c>
      <c r="J7" s="115"/>
      <c r="K7" s="116" t="str">
        <f t="shared" si="1"/>
        <v/>
      </c>
      <c r="L7" s="117" t="str">
        <f t="shared" si="2"/>
        <v/>
      </c>
      <c r="M7" s="115"/>
      <c r="N7" s="117">
        <v>5.0</v>
      </c>
      <c r="O7" s="118" t="s">
        <v>116</v>
      </c>
      <c r="P7" s="117">
        <f t="shared" si="3"/>
        <v>0</v>
      </c>
      <c r="Q7" s="119">
        <f t="shared" si="4"/>
        <v>0</v>
      </c>
      <c r="R7" s="119"/>
      <c r="S7" s="120">
        <f t="shared" si="5"/>
        <v>0</v>
      </c>
      <c r="T7" s="117">
        <f t="shared" si="6"/>
        <v>0</v>
      </c>
      <c r="U7" s="120">
        <f t="shared" si="7"/>
        <v>0</v>
      </c>
      <c r="V7" s="117">
        <f t="shared" si="8"/>
        <v>0</v>
      </c>
      <c r="AA7" s="20" t="s">
        <v>44</v>
      </c>
      <c r="AB7" s="63" t="s">
        <v>116</v>
      </c>
      <c r="AC7" s="21">
        <v>0.0</v>
      </c>
      <c r="AD7" s="21">
        <v>0.0</v>
      </c>
      <c r="AE7" s="21"/>
      <c r="AF7" s="22">
        <v>0.0</v>
      </c>
      <c r="AG7" s="21">
        <v>0.0</v>
      </c>
      <c r="AH7" s="22">
        <v>0.0</v>
      </c>
      <c r="AI7" s="21">
        <v>0.0</v>
      </c>
    </row>
    <row r="8" ht="15.75" customHeight="1">
      <c r="A8" s="28"/>
      <c r="B8" s="11">
        <v>45946.0</v>
      </c>
      <c r="C8" s="12" t="s">
        <v>21</v>
      </c>
      <c r="D8" s="12" t="s">
        <v>22</v>
      </c>
      <c r="E8" s="14" t="s">
        <v>57</v>
      </c>
      <c r="F8" s="30"/>
      <c r="G8" s="30" t="s">
        <v>24</v>
      </c>
      <c r="H8" s="30"/>
      <c r="I8" s="14" t="s">
        <v>162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36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36</v>
      </c>
      <c r="AC8" s="21">
        <v>0.0</v>
      </c>
      <c r="AD8" s="21">
        <v>0.0</v>
      </c>
      <c r="AE8" s="21"/>
      <c r="AF8" s="22">
        <v>0.0</v>
      </c>
      <c r="AG8" s="21">
        <v>0.0</v>
      </c>
      <c r="AH8" s="22">
        <v>0.0</v>
      </c>
      <c r="AI8" s="21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30"/>
      <c r="G9" s="30" t="s">
        <v>24</v>
      </c>
      <c r="H9" s="30"/>
      <c r="I9" s="14" t="s">
        <v>57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183</v>
      </c>
      <c r="P9" s="117">
        <f t="shared" si="3"/>
        <v>0</v>
      </c>
      <c r="Q9" s="119">
        <f t="shared" si="4"/>
        <v>0</v>
      </c>
      <c r="R9" s="119"/>
      <c r="S9" s="120">
        <f t="shared" si="5"/>
        <v>0</v>
      </c>
      <c r="T9" s="117">
        <f t="shared" si="6"/>
        <v>0</v>
      </c>
      <c r="U9" s="120">
        <f t="shared" si="7"/>
        <v>0</v>
      </c>
      <c r="V9" s="117">
        <f t="shared" si="8"/>
        <v>0</v>
      </c>
      <c r="AA9" s="20">
        <v>7.0</v>
      </c>
      <c r="AB9" s="63" t="s">
        <v>183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</row>
    <row r="10" ht="15.75" customHeight="1">
      <c r="A10" s="23"/>
      <c r="B10" s="11">
        <v>45957.0</v>
      </c>
      <c r="C10" s="12" t="s">
        <v>21</v>
      </c>
      <c r="D10" s="12" t="s">
        <v>22</v>
      </c>
      <c r="E10" s="14" t="s">
        <v>116</v>
      </c>
      <c r="F10" s="30"/>
      <c r="G10" s="30" t="s">
        <v>24</v>
      </c>
      <c r="H10" s="30"/>
      <c r="I10" s="14" t="s">
        <v>23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32</v>
      </c>
      <c r="P10" s="117">
        <f t="shared" si="3"/>
        <v>0</v>
      </c>
      <c r="Q10" s="119">
        <f t="shared" si="4"/>
        <v>0</v>
      </c>
      <c r="R10" s="119"/>
      <c r="S10" s="120">
        <f t="shared" si="5"/>
        <v>0</v>
      </c>
      <c r="T10" s="117">
        <f t="shared" si="6"/>
        <v>0</v>
      </c>
      <c r="U10" s="120">
        <f t="shared" si="7"/>
        <v>0</v>
      </c>
      <c r="V10" s="117">
        <f t="shared" si="8"/>
        <v>0</v>
      </c>
      <c r="AA10" s="20">
        <v>8.0</v>
      </c>
      <c r="AB10" s="63" t="s">
        <v>32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</row>
    <row r="11" ht="15.75" customHeight="1">
      <c r="A11" s="23"/>
      <c r="B11" s="11">
        <v>45957.0</v>
      </c>
      <c r="C11" s="64" t="s">
        <v>30</v>
      </c>
      <c r="D11" s="12" t="s">
        <v>22</v>
      </c>
      <c r="E11" s="14" t="s">
        <v>183</v>
      </c>
      <c r="F11" s="30"/>
      <c r="G11" s="30" t="s">
        <v>24</v>
      </c>
      <c r="H11" s="30"/>
      <c r="I11" s="14" t="s">
        <v>31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42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0</v>
      </c>
      <c r="T11" s="117">
        <f t="shared" si="6"/>
        <v>0</v>
      </c>
      <c r="U11" s="120">
        <f t="shared" si="7"/>
        <v>0</v>
      </c>
      <c r="V11" s="117">
        <f t="shared" si="8"/>
        <v>0</v>
      </c>
      <c r="AA11" s="95" t="s">
        <v>103</v>
      </c>
      <c r="AB11" s="63" t="s">
        <v>42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</row>
    <row r="12" ht="15.75" customHeight="1">
      <c r="A12" s="23"/>
      <c r="B12" s="11">
        <v>45957.0</v>
      </c>
      <c r="C12" s="64" t="s">
        <v>30</v>
      </c>
      <c r="D12" s="12" t="s">
        <v>22</v>
      </c>
      <c r="E12" s="14" t="s">
        <v>42</v>
      </c>
      <c r="F12" s="30"/>
      <c r="G12" s="30" t="s">
        <v>24</v>
      </c>
      <c r="H12" s="30"/>
      <c r="I12" s="14" t="s">
        <v>32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31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0</v>
      </c>
      <c r="T12" s="117">
        <f t="shared" si="6"/>
        <v>0</v>
      </c>
      <c r="U12" s="120">
        <f t="shared" si="7"/>
        <v>0</v>
      </c>
      <c r="V12" s="117">
        <f t="shared" si="8"/>
        <v>0</v>
      </c>
      <c r="AA12" s="69">
        <v>10.0</v>
      </c>
      <c r="AB12" s="63" t="s">
        <v>31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</row>
    <row r="13" ht="15.75" customHeight="1">
      <c r="A13" s="23"/>
      <c r="B13" s="11">
        <v>45957.0</v>
      </c>
      <c r="C13" s="64" t="s">
        <v>30</v>
      </c>
      <c r="D13" s="12" t="s">
        <v>22</v>
      </c>
      <c r="E13" s="14" t="s">
        <v>61</v>
      </c>
      <c r="F13" s="30"/>
      <c r="G13" s="30" t="s">
        <v>24</v>
      </c>
      <c r="H13" s="30"/>
      <c r="I13" s="14" t="s">
        <v>36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61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0</v>
      </c>
      <c r="T13" s="117">
        <f t="shared" si="6"/>
        <v>0</v>
      </c>
      <c r="U13" s="120">
        <f t="shared" si="7"/>
        <v>0</v>
      </c>
      <c r="V13" s="117">
        <f t="shared" si="8"/>
        <v>0</v>
      </c>
      <c r="AA13" s="69">
        <v>11.0</v>
      </c>
      <c r="AB13" s="63" t="s">
        <v>61</v>
      </c>
      <c r="AC13" s="21">
        <v>0.0</v>
      </c>
      <c r="AD13" s="21">
        <v>0.0</v>
      </c>
      <c r="AE13" s="21"/>
      <c r="AF13" s="22">
        <v>0.0</v>
      </c>
      <c r="AG13" s="21">
        <v>0.0</v>
      </c>
      <c r="AH13" s="22">
        <v>0.0</v>
      </c>
      <c r="AI13" s="21">
        <v>0.0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30"/>
      <c r="G14" s="30" t="s">
        <v>24</v>
      </c>
      <c r="H14" s="30"/>
      <c r="I14" s="14" t="s">
        <v>113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57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57</v>
      </c>
      <c r="AC14" s="21">
        <v>0.0</v>
      </c>
      <c r="AD14" s="26">
        <v>0.0</v>
      </c>
      <c r="AE14" s="26"/>
      <c r="AF14" s="26">
        <v>0.0</v>
      </c>
      <c r="AG14" s="26">
        <v>0.0</v>
      </c>
      <c r="AH14" s="26">
        <v>0.0</v>
      </c>
      <c r="AI14" s="26">
        <v>0.0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30"/>
      <c r="G15" s="30" t="s">
        <v>24</v>
      </c>
      <c r="H15" s="30"/>
      <c r="I15" s="14" t="s">
        <v>116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193</v>
      </c>
      <c r="AD15" s="36"/>
      <c r="AF15" s="3"/>
      <c r="AG15" s="3"/>
      <c r="AH15" s="3"/>
      <c r="AI15" s="3"/>
    </row>
    <row r="16" ht="15.75" customHeight="1">
      <c r="A16" s="23"/>
      <c r="B16" s="11">
        <v>45957.0</v>
      </c>
      <c r="C16" s="64" t="s">
        <v>35</v>
      </c>
      <c r="D16" s="12" t="s">
        <v>22</v>
      </c>
      <c r="E16" s="14" t="s">
        <v>23</v>
      </c>
      <c r="F16" s="30"/>
      <c r="G16" s="30" t="s">
        <v>24</v>
      </c>
      <c r="H16" s="30"/>
      <c r="I16" s="14" t="s">
        <v>183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</row>
    <row r="17" ht="15.75" customHeight="1">
      <c r="A17" s="23"/>
      <c r="B17" s="124"/>
      <c r="C17" s="125"/>
      <c r="D17" s="125"/>
      <c r="E17" s="14" t="s">
        <v>31</v>
      </c>
      <c r="F17" s="30"/>
      <c r="G17" s="30" t="s">
        <v>24</v>
      </c>
      <c r="H17" s="30"/>
      <c r="I17" s="14" t="s">
        <v>42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</row>
    <row r="18" ht="15.75" customHeight="1">
      <c r="A18" s="23"/>
      <c r="B18" s="124"/>
      <c r="C18" s="125"/>
      <c r="D18" s="125"/>
      <c r="E18" s="14" t="s">
        <v>32</v>
      </c>
      <c r="F18" s="30"/>
      <c r="G18" s="30" t="s">
        <v>24</v>
      </c>
      <c r="H18" s="30"/>
      <c r="I18" s="14" t="s">
        <v>61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</row>
    <row r="19" ht="15.75" customHeight="1">
      <c r="A19" s="23"/>
      <c r="B19" s="124"/>
      <c r="C19" s="125"/>
      <c r="D19" s="125"/>
      <c r="E19" s="14" t="s">
        <v>36</v>
      </c>
      <c r="F19" s="30"/>
      <c r="G19" s="30" t="s">
        <v>24</v>
      </c>
      <c r="H19" s="30"/>
      <c r="I19" s="14" t="s">
        <v>162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</row>
    <row r="20" ht="15.75" customHeight="1">
      <c r="A20" s="28"/>
      <c r="B20" s="124"/>
      <c r="C20" s="125"/>
      <c r="D20" s="125"/>
      <c r="E20" s="14" t="s">
        <v>57</v>
      </c>
      <c r="F20" s="30"/>
      <c r="G20" s="30" t="s">
        <v>24</v>
      </c>
      <c r="H20" s="30"/>
      <c r="I20" s="14" t="s">
        <v>113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</row>
    <row r="21" ht="15.75" customHeight="1">
      <c r="A21" s="10">
        <v>4.0</v>
      </c>
      <c r="B21" s="128"/>
      <c r="C21" s="125"/>
      <c r="D21" s="125"/>
      <c r="E21" s="14" t="s">
        <v>116</v>
      </c>
      <c r="F21" s="30"/>
      <c r="G21" s="30" t="s">
        <v>24</v>
      </c>
      <c r="H21" s="30"/>
      <c r="I21" s="14" t="s">
        <v>57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</row>
    <row r="22" ht="15.75" customHeight="1">
      <c r="A22" s="23"/>
      <c r="B22" s="124"/>
      <c r="C22" s="125"/>
      <c r="D22" s="125"/>
      <c r="E22" s="14" t="s">
        <v>183</v>
      </c>
      <c r="F22" s="30"/>
      <c r="G22" s="30" t="s">
        <v>24</v>
      </c>
      <c r="H22" s="30"/>
      <c r="I22" s="14" t="s">
        <v>25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</row>
    <row r="23" ht="15.75" customHeight="1">
      <c r="A23" s="23"/>
      <c r="B23" s="124"/>
      <c r="C23" s="125"/>
      <c r="D23" s="125"/>
      <c r="E23" s="14" t="s">
        <v>42</v>
      </c>
      <c r="F23" s="30"/>
      <c r="G23" s="30" t="s">
        <v>24</v>
      </c>
      <c r="H23" s="30"/>
      <c r="I23" s="14" t="s">
        <v>23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</row>
    <row r="24" ht="15.75" customHeight="1">
      <c r="A24" s="23"/>
      <c r="B24" s="124"/>
      <c r="C24" s="125"/>
      <c r="D24" s="125"/>
      <c r="E24" s="14" t="s">
        <v>61</v>
      </c>
      <c r="F24" s="30"/>
      <c r="G24" s="30" t="s">
        <v>24</v>
      </c>
      <c r="H24" s="30"/>
      <c r="I24" s="14" t="s">
        <v>31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</row>
    <row r="25" ht="15.75" customHeight="1">
      <c r="A25" s="23"/>
      <c r="B25" s="124"/>
      <c r="C25" s="125"/>
      <c r="D25" s="125"/>
      <c r="E25" s="14" t="s">
        <v>162</v>
      </c>
      <c r="F25" s="30"/>
      <c r="G25" s="30" t="s">
        <v>24</v>
      </c>
      <c r="H25" s="30"/>
      <c r="I25" s="14" t="s">
        <v>32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4"/>
      <c r="C26" s="125"/>
      <c r="D26" s="125"/>
      <c r="E26" s="14" t="s">
        <v>113</v>
      </c>
      <c r="F26" s="30"/>
      <c r="G26" s="30" t="s">
        <v>24</v>
      </c>
      <c r="H26" s="30"/>
      <c r="I26" s="14" t="s">
        <v>36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4"/>
      <c r="C27" s="125"/>
      <c r="D27" s="125"/>
      <c r="E27" s="14" t="s">
        <v>116</v>
      </c>
      <c r="F27" s="30"/>
      <c r="G27" s="30" t="s">
        <v>24</v>
      </c>
      <c r="H27" s="30"/>
      <c r="I27" s="14" t="s">
        <v>183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</row>
    <row r="28" ht="15.75" customHeight="1">
      <c r="A28" s="23"/>
      <c r="B28" s="124"/>
      <c r="C28" s="125"/>
      <c r="D28" s="125"/>
      <c r="E28" s="14" t="s">
        <v>25</v>
      </c>
      <c r="F28" s="30"/>
      <c r="G28" s="30" t="s">
        <v>24</v>
      </c>
      <c r="H28" s="30"/>
      <c r="I28" s="14" t="s">
        <v>42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</row>
    <row r="29" ht="15.75" customHeight="1">
      <c r="A29" s="23"/>
      <c r="B29" s="124"/>
      <c r="C29" s="125"/>
      <c r="D29" s="125"/>
      <c r="E29" s="14" t="s">
        <v>23</v>
      </c>
      <c r="F29" s="30"/>
      <c r="G29" s="30" t="s">
        <v>24</v>
      </c>
      <c r="H29" s="30"/>
      <c r="I29" s="14" t="s">
        <v>61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</row>
    <row r="30" ht="15.75" customHeight="1">
      <c r="A30" s="23"/>
      <c r="B30" s="124"/>
      <c r="C30" s="125"/>
      <c r="D30" s="125"/>
      <c r="E30" s="14" t="s">
        <v>31</v>
      </c>
      <c r="F30" s="30"/>
      <c r="G30" s="30" t="s">
        <v>24</v>
      </c>
      <c r="H30" s="30"/>
      <c r="I30" s="14" t="s">
        <v>162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</row>
    <row r="31" ht="15.75" customHeight="1">
      <c r="A31" s="23"/>
      <c r="B31" s="124"/>
      <c r="C31" s="125"/>
      <c r="D31" s="125"/>
      <c r="E31" s="14" t="s">
        <v>32</v>
      </c>
      <c r="F31" s="30"/>
      <c r="G31" s="30" t="s">
        <v>24</v>
      </c>
      <c r="H31" s="30"/>
      <c r="I31" s="14" t="s">
        <v>113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4"/>
      <c r="C32" s="125"/>
      <c r="D32" s="125"/>
      <c r="E32" s="14" t="s">
        <v>57</v>
      </c>
      <c r="F32" s="30"/>
      <c r="G32" s="30" t="s">
        <v>24</v>
      </c>
      <c r="H32" s="30"/>
      <c r="I32" s="14" t="s">
        <v>36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4"/>
      <c r="C33" s="129"/>
      <c r="D33" s="125"/>
      <c r="E33" s="14" t="s">
        <v>183</v>
      </c>
      <c r="F33" s="30"/>
      <c r="G33" s="30" t="s">
        <v>24</v>
      </c>
      <c r="H33" s="30"/>
      <c r="I33" s="14" t="s">
        <v>57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</row>
    <row r="34" ht="15.75" customHeight="1">
      <c r="A34" s="23"/>
      <c r="B34" s="124"/>
      <c r="C34" s="129"/>
      <c r="D34" s="125"/>
      <c r="E34" s="14" t="s">
        <v>42</v>
      </c>
      <c r="F34" s="30"/>
      <c r="G34" s="30" t="s">
        <v>24</v>
      </c>
      <c r="H34" s="30"/>
      <c r="I34" s="14" t="s">
        <v>116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</row>
    <row r="35" ht="15.75" customHeight="1">
      <c r="A35" s="23"/>
      <c r="B35" s="124"/>
      <c r="C35" s="129"/>
      <c r="D35" s="125"/>
      <c r="E35" s="14" t="s">
        <v>61</v>
      </c>
      <c r="F35" s="30"/>
      <c r="G35" s="30" t="s">
        <v>24</v>
      </c>
      <c r="H35" s="30"/>
      <c r="I35" s="14" t="s">
        <v>25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</row>
    <row r="36" ht="15.75" customHeight="1">
      <c r="A36" s="23"/>
      <c r="B36" s="124"/>
      <c r="C36" s="129"/>
      <c r="D36" s="125"/>
      <c r="E36" s="14" t="s">
        <v>162</v>
      </c>
      <c r="F36" s="30"/>
      <c r="G36" s="30" t="s">
        <v>24</v>
      </c>
      <c r="H36" s="30"/>
      <c r="I36" s="14" t="s">
        <v>23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</row>
    <row r="37" ht="15.75" customHeight="1">
      <c r="A37" s="23"/>
      <c r="B37" s="124"/>
      <c r="C37" s="129"/>
      <c r="D37" s="125"/>
      <c r="E37" s="14" t="s">
        <v>113</v>
      </c>
      <c r="F37" s="30"/>
      <c r="G37" s="30" t="s">
        <v>24</v>
      </c>
      <c r="H37" s="30"/>
      <c r="I37" s="14" t="s">
        <v>31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4"/>
      <c r="C38" s="129"/>
      <c r="D38" s="125"/>
      <c r="E38" s="14" t="s">
        <v>36</v>
      </c>
      <c r="F38" s="30"/>
      <c r="G38" s="30" t="s">
        <v>24</v>
      </c>
      <c r="H38" s="30"/>
      <c r="I38" s="14" t="s">
        <v>32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4"/>
      <c r="C39" s="125"/>
      <c r="D39" s="125"/>
      <c r="E39" s="14" t="s">
        <v>183</v>
      </c>
      <c r="F39" s="30"/>
      <c r="G39" s="30" t="s">
        <v>24</v>
      </c>
      <c r="H39" s="30"/>
      <c r="I39" s="14" t="s">
        <v>42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</row>
    <row r="40" ht="15.75" customHeight="1">
      <c r="A40" s="23"/>
      <c r="B40" s="124"/>
      <c r="C40" s="125"/>
      <c r="D40" s="125"/>
      <c r="E40" s="14" t="s">
        <v>116</v>
      </c>
      <c r="F40" s="30"/>
      <c r="G40" s="30" t="s">
        <v>24</v>
      </c>
      <c r="H40" s="30"/>
      <c r="I40" s="14" t="s">
        <v>61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</row>
    <row r="41" ht="15.75" customHeight="1">
      <c r="A41" s="23"/>
      <c r="B41" s="124"/>
      <c r="C41" s="125"/>
      <c r="D41" s="130"/>
      <c r="E41" s="40" t="s">
        <v>25</v>
      </c>
      <c r="F41" s="30"/>
      <c r="G41" s="30" t="s">
        <v>24</v>
      </c>
      <c r="H41" s="30"/>
      <c r="I41" s="40" t="s">
        <v>162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</row>
    <row r="42" ht="15.75" customHeight="1">
      <c r="A42" s="23"/>
      <c r="B42" s="124"/>
      <c r="C42" s="125"/>
      <c r="D42" s="125"/>
      <c r="E42" s="14" t="s">
        <v>23</v>
      </c>
      <c r="F42" s="30"/>
      <c r="G42" s="30" t="s">
        <v>24</v>
      </c>
      <c r="H42" s="30"/>
      <c r="I42" s="14" t="s">
        <v>113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</row>
    <row r="43" ht="15.75" customHeight="1">
      <c r="A43" s="23"/>
      <c r="B43" s="124"/>
      <c r="C43" s="125"/>
      <c r="D43" s="125"/>
      <c r="E43" s="14" t="s">
        <v>31</v>
      </c>
      <c r="F43" s="30"/>
      <c r="G43" s="30" t="s">
        <v>24</v>
      </c>
      <c r="H43" s="30"/>
      <c r="I43" s="14" t="s">
        <v>36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4"/>
      <c r="C44" s="125"/>
      <c r="D44" s="125"/>
      <c r="E44" s="14" t="s">
        <v>57</v>
      </c>
      <c r="F44" s="30"/>
      <c r="G44" s="30" t="s">
        <v>24</v>
      </c>
      <c r="H44" s="30"/>
      <c r="I44" s="14" t="s">
        <v>32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4"/>
      <c r="C45" s="129"/>
      <c r="D45" s="125"/>
      <c r="E45" s="14" t="s">
        <v>42</v>
      </c>
      <c r="F45" s="30"/>
      <c r="G45" s="30" t="s">
        <v>24</v>
      </c>
      <c r="H45" s="30"/>
      <c r="I45" s="14" t="s">
        <v>57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</row>
    <row r="46" ht="15.75" customHeight="1">
      <c r="A46" s="23"/>
      <c r="B46" s="128"/>
      <c r="C46" s="129"/>
      <c r="D46" s="125"/>
      <c r="E46" s="14" t="s">
        <v>61</v>
      </c>
      <c r="F46" s="30"/>
      <c r="G46" s="30" t="s">
        <v>24</v>
      </c>
      <c r="H46" s="30"/>
      <c r="I46" s="14" t="s">
        <v>183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</row>
    <row r="47" ht="15.75" customHeight="1">
      <c r="A47" s="23"/>
      <c r="B47" s="128"/>
      <c r="C47" s="129"/>
      <c r="D47" s="125"/>
      <c r="E47" s="14" t="s">
        <v>162</v>
      </c>
      <c r="F47" s="30"/>
      <c r="G47" s="30" t="s">
        <v>24</v>
      </c>
      <c r="H47" s="30"/>
      <c r="I47" s="14" t="s">
        <v>116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</row>
    <row r="48" ht="15.75" customHeight="1">
      <c r="A48" s="23"/>
      <c r="B48" s="128"/>
      <c r="C48" s="129"/>
      <c r="D48" s="125"/>
      <c r="E48" s="40" t="s">
        <v>113</v>
      </c>
      <c r="F48" s="30"/>
      <c r="G48" s="30" t="s">
        <v>24</v>
      </c>
      <c r="H48" s="30"/>
      <c r="I48" s="40" t="s">
        <v>25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</row>
    <row r="49" ht="15.75" customHeight="1">
      <c r="A49" s="23"/>
      <c r="B49" s="128"/>
      <c r="C49" s="129"/>
      <c r="D49" s="125"/>
      <c r="E49" s="40" t="s">
        <v>36</v>
      </c>
      <c r="F49" s="30"/>
      <c r="G49" s="30" t="s">
        <v>24</v>
      </c>
      <c r="H49" s="30"/>
      <c r="I49" s="40" t="s">
        <v>23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8"/>
      <c r="C50" s="129"/>
      <c r="D50" s="125"/>
      <c r="E50" s="14" t="s">
        <v>32</v>
      </c>
      <c r="F50" s="30"/>
      <c r="G50" s="30" t="s">
        <v>24</v>
      </c>
      <c r="H50" s="30"/>
      <c r="I50" s="14" t="s">
        <v>31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4"/>
      <c r="C51" s="129"/>
      <c r="D51" s="125"/>
      <c r="E51" s="14" t="s">
        <v>42</v>
      </c>
      <c r="F51" s="125"/>
      <c r="G51" s="30" t="s">
        <v>24</v>
      </c>
      <c r="H51" s="30"/>
      <c r="I51" s="14" t="s">
        <v>61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</row>
    <row r="52" ht="15.75" customHeight="1">
      <c r="A52" s="23"/>
      <c r="B52" s="124"/>
      <c r="C52" s="129"/>
      <c r="D52" s="125"/>
      <c r="E52" s="14" t="s">
        <v>183</v>
      </c>
      <c r="F52" s="125"/>
      <c r="G52" s="30" t="s">
        <v>24</v>
      </c>
      <c r="H52" s="30"/>
      <c r="I52" s="14" t="s">
        <v>162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</row>
    <row r="53" ht="15.75" customHeight="1">
      <c r="A53" s="23"/>
      <c r="B53" s="124"/>
      <c r="C53" s="129"/>
      <c r="D53" s="125"/>
      <c r="E53" s="14" t="s">
        <v>116</v>
      </c>
      <c r="F53" s="125"/>
      <c r="G53" s="30" t="s">
        <v>24</v>
      </c>
      <c r="H53" s="30"/>
      <c r="I53" s="14" t="s">
        <v>113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</row>
    <row r="54" ht="15.75" customHeight="1">
      <c r="A54" s="23"/>
      <c r="B54" s="124"/>
      <c r="C54" s="129"/>
      <c r="D54" s="125"/>
      <c r="E54" s="14" t="s">
        <v>25</v>
      </c>
      <c r="F54" s="125"/>
      <c r="G54" s="30" t="s">
        <v>24</v>
      </c>
      <c r="H54" s="30"/>
      <c r="I54" s="14" t="s">
        <v>36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</row>
    <row r="55" ht="15.75" customHeight="1">
      <c r="A55" s="23"/>
      <c r="B55" s="124"/>
      <c r="C55" s="129"/>
      <c r="D55" s="125"/>
      <c r="E55" s="14" t="s">
        <v>23</v>
      </c>
      <c r="F55" s="125"/>
      <c r="G55" s="30" t="s">
        <v>24</v>
      </c>
      <c r="H55" s="30"/>
      <c r="I55" s="14" t="s">
        <v>32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4"/>
      <c r="C56" s="129"/>
      <c r="D56" s="125"/>
      <c r="E56" s="14" t="s">
        <v>57</v>
      </c>
      <c r="F56" s="125"/>
      <c r="G56" s="30" t="s">
        <v>24</v>
      </c>
      <c r="H56" s="30"/>
      <c r="I56" s="14" t="s">
        <v>31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8"/>
      <c r="C57" s="125"/>
      <c r="D57" s="125"/>
      <c r="E57" s="14" t="s">
        <v>57</v>
      </c>
      <c r="F57" s="30"/>
      <c r="G57" s="30" t="s">
        <v>24</v>
      </c>
      <c r="H57" s="30"/>
      <c r="I57" s="14" t="s">
        <v>61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</row>
    <row r="58" ht="15.75" customHeight="1">
      <c r="A58" s="23"/>
      <c r="B58" s="124"/>
      <c r="C58" s="125"/>
      <c r="D58" s="125"/>
      <c r="E58" s="14" t="s">
        <v>162</v>
      </c>
      <c r="F58" s="30"/>
      <c r="G58" s="30" t="s">
        <v>24</v>
      </c>
      <c r="H58" s="30"/>
      <c r="I58" s="14" t="s">
        <v>42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</row>
    <row r="59" ht="15.75" customHeight="1">
      <c r="A59" s="23"/>
      <c r="B59" s="124"/>
      <c r="C59" s="125"/>
      <c r="D59" s="125"/>
      <c r="E59" s="14" t="s">
        <v>113</v>
      </c>
      <c r="F59" s="30"/>
      <c r="G59" s="30" t="s">
        <v>24</v>
      </c>
      <c r="H59" s="30"/>
      <c r="I59" s="14" t="s">
        <v>183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</row>
    <row r="60" ht="15.75" customHeight="1">
      <c r="A60" s="23"/>
      <c r="B60" s="124"/>
      <c r="C60" s="125"/>
      <c r="D60" s="125"/>
      <c r="E60" s="14" t="s">
        <v>36</v>
      </c>
      <c r="F60" s="30"/>
      <c r="G60" s="30" t="s">
        <v>24</v>
      </c>
      <c r="H60" s="30"/>
      <c r="I60" s="14" t="s">
        <v>116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</row>
    <row r="61" ht="15.75" customHeight="1">
      <c r="A61" s="23"/>
      <c r="B61" s="124"/>
      <c r="C61" s="125"/>
      <c r="D61" s="125"/>
      <c r="E61" s="14" t="s">
        <v>32</v>
      </c>
      <c r="F61" s="30"/>
      <c r="G61" s="30" t="s">
        <v>24</v>
      </c>
      <c r="H61" s="30"/>
      <c r="I61" s="14" t="s">
        <v>25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4"/>
      <c r="C62" s="125"/>
      <c r="D62" s="125"/>
      <c r="E62" s="14" t="s">
        <v>31</v>
      </c>
      <c r="F62" s="30"/>
      <c r="G62" s="30" t="s">
        <v>24</v>
      </c>
      <c r="H62" s="30"/>
      <c r="I62" s="14" t="s">
        <v>23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4"/>
      <c r="C63" s="129"/>
      <c r="D63" s="125"/>
      <c r="E63" s="14" t="s">
        <v>61</v>
      </c>
      <c r="F63" s="30"/>
      <c r="G63" s="30" t="s">
        <v>24</v>
      </c>
      <c r="H63" s="30"/>
      <c r="I63" s="14" t="s">
        <v>162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</row>
    <row r="64" ht="15.75" customHeight="1">
      <c r="A64" s="23"/>
      <c r="B64" s="124"/>
      <c r="C64" s="129"/>
      <c r="D64" s="125"/>
      <c r="E64" s="14" t="s">
        <v>42</v>
      </c>
      <c r="F64" s="30"/>
      <c r="G64" s="30" t="s">
        <v>24</v>
      </c>
      <c r="H64" s="30"/>
      <c r="I64" s="14" t="s">
        <v>113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</row>
    <row r="65" ht="15.75" customHeight="1">
      <c r="A65" s="23"/>
      <c r="B65" s="124"/>
      <c r="C65" s="129"/>
      <c r="D65" s="125"/>
      <c r="E65" s="14" t="s">
        <v>183</v>
      </c>
      <c r="F65" s="30"/>
      <c r="G65" s="30" t="s">
        <v>24</v>
      </c>
      <c r="H65" s="30"/>
      <c r="I65" s="14" t="s">
        <v>36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</row>
    <row r="66" ht="15.75" customHeight="1">
      <c r="A66" s="23"/>
      <c r="B66" s="124"/>
      <c r="C66" s="129"/>
      <c r="D66" s="125"/>
      <c r="E66" s="14" t="s">
        <v>116</v>
      </c>
      <c r="F66" s="30"/>
      <c r="G66" s="30" t="s">
        <v>24</v>
      </c>
      <c r="H66" s="30"/>
      <c r="I66" s="14" t="s">
        <v>32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</row>
    <row r="67" ht="15.75" customHeight="1">
      <c r="A67" s="23"/>
      <c r="B67" s="124"/>
      <c r="C67" s="129"/>
      <c r="D67" s="125"/>
      <c r="E67" s="14" t="s">
        <v>25</v>
      </c>
      <c r="F67" s="30"/>
      <c r="G67" s="30" t="s">
        <v>24</v>
      </c>
      <c r="H67" s="30"/>
      <c r="I67" s="14" t="s">
        <v>31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8"/>
      <c r="C68" s="129"/>
      <c r="D68" s="125"/>
      <c r="E68" s="14" t="s">
        <v>23</v>
      </c>
      <c r="F68" s="13"/>
      <c r="G68" s="30" t="s">
        <v>24</v>
      </c>
      <c r="H68" s="13"/>
      <c r="I68" s="14" t="s">
        <v>57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</row>
    <row r="72" ht="15.75" customHeight="1">
      <c r="A72" s="113" t="s">
        <v>194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39</v>
      </c>
      <c r="F74" s="30"/>
      <c r="G74" s="30" t="s">
        <v>24</v>
      </c>
      <c r="H74" s="30"/>
      <c r="I74" s="14" t="s">
        <v>145</v>
      </c>
      <c r="J74" s="115"/>
      <c r="K74" s="116" t="str">
        <f t="shared" ref="K74:K139" si="9">IFS(F74=H74+2,3,F74=H74-2,0,F74=H74+1,2,F74=H74-1,1,F74="","")</f>
        <v/>
      </c>
      <c r="L74" s="117" t="str">
        <f t="shared" ref="L74:L139" si="10">IFS(H74=F74+2,3,H74=F74-2,0,H74=F74+1,2,H74=F74-1,1,H74="","")</f>
        <v/>
      </c>
      <c r="M74" s="115"/>
      <c r="N74" s="117">
        <v>1.0</v>
      </c>
      <c r="O74" s="118" t="s">
        <v>39</v>
      </c>
      <c r="P74" s="117">
        <f t="shared" ref="P74:P84" si="11">SUMIF(E$74:E$139,O74,K$74:K$139)+SUMIF(I$74:I$139,O74,L$74:L$139)</f>
        <v>0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0</v>
      </c>
      <c r="T74" s="117">
        <f t="shared" ref="T74:T84" si="14">SUMIF(E$74:E$139,O74,F$74:F$139)+SUMIF(I$74:I$139,O74,H$74:H$139)</f>
        <v>0</v>
      </c>
      <c r="U74" s="120">
        <f t="shared" ref="U74:U84" si="15">SUMIF(E$74:E$139,O74,H$74:H$139)+SUMIF(I$74:I$139,O74,F$74:F$139)</f>
        <v>0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ECT</v>
      </c>
      <c r="AC74" s="21">
        <v>0.0</v>
      </c>
      <c r="AD74" s="21">
        <v>0.0</v>
      </c>
      <c r="AE74" s="22"/>
      <c r="AF74" s="22">
        <v>0.0</v>
      </c>
      <c r="AG74" s="21">
        <v>0.0</v>
      </c>
      <c r="AH74" s="22">
        <v>0.0</v>
      </c>
      <c r="AI74" s="21">
        <v>0.0</v>
      </c>
    </row>
    <row r="75" ht="15.75" customHeight="1">
      <c r="A75" s="23"/>
      <c r="B75" s="11">
        <v>45944.0</v>
      </c>
      <c r="C75" s="12" t="s">
        <v>147</v>
      </c>
      <c r="D75" s="12" t="s">
        <v>22</v>
      </c>
      <c r="E75" s="14" t="s">
        <v>159</v>
      </c>
      <c r="F75" s="30"/>
      <c r="G75" s="30" t="s">
        <v>24</v>
      </c>
      <c r="H75" s="30"/>
      <c r="I75" s="14" t="s">
        <v>60</v>
      </c>
      <c r="J75" s="115"/>
      <c r="K75" s="116" t="str">
        <f t="shared" si="9"/>
        <v/>
      </c>
      <c r="L75" s="117" t="str">
        <f t="shared" si="10"/>
        <v/>
      </c>
      <c r="M75" s="115"/>
      <c r="N75" s="117">
        <v>2.0</v>
      </c>
      <c r="O75" s="118" t="s">
        <v>40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40</v>
      </c>
      <c r="AC75" s="21">
        <v>0.0</v>
      </c>
      <c r="AD75" s="21">
        <v>0.0</v>
      </c>
      <c r="AE75" s="22"/>
      <c r="AF75" s="22">
        <v>0.0</v>
      </c>
      <c r="AG75" s="21">
        <v>0.0</v>
      </c>
      <c r="AH75" s="22">
        <v>0.0</v>
      </c>
      <c r="AI75" s="21">
        <v>0.0</v>
      </c>
    </row>
    <row r="76" ht="15.75" customHeight="1">
      <c r="A76" s="23"/>
      <c r="B76" s="11">
        <v>45944.0</v>
      </c>
      <c r="C76" s="12" t="s">
        <v>147</v>
      </c>
      <c r="D76" s="12" t="s">
        <v>22</v>
      </c>
      <c r="E76" s="14" t="s">
        <v>195</v>
      </c>
      <c r="F76" s="30"/>
      <c r="G76" s="30" t="s">
        <v>24</v>
      </c>
      <c r="H76" s="30"/>
      <c r="I76" s="14" t="s">
        <v>134</v>
      </c>
      <c r="J76" s="115"/>
      <c r="K76" s="116" t="str">
        <f t="shared" si="9"/>
        <v/>
      </c>
      <c r="L76" s="117" t="str">
        <f t="shared" si="10"/>
        <v/>
      </c>
      <c r="M76" s="115"/>
      <c r="N76" s="117">
        <v>3.0</v>
      </c>
      <c r="O76" s="118" t="s">
        <v>145</v>
      </c>
      <c r="P76" s="117">
        <f t="shared" si="11"/>
        <v>0</v>
      </c>
      <c r="Q76" s="119">
        <f t="shared" si="12"/>
        <v>0</v>
      </c>
      <c r="R76" s="120"/>
      <c r="S76" s="120">
        <f t="shared" si="13"/>
        <v>0</v>
      </c>
      <c r="T76" s="117">
        <f t="shared" si="14"/>
        <v>0</v>
      </c>
      <c r="U76" s="120">
        <f t="shared" si="15"/>
        <v>0</v>
      </c>
      <c r="V76" s="117">
        <f t="shared" si="16"/>
        <v>0</v>
      </c>
      <c r="X76" s="108" t="s">
        <v>40</v>
      </c>
      <c r="Y76" s="108">
        <v>0.0</v>
      </c>
      <c r="AA76" s="20">
        <v>3.0</v>
      </c>
      <c r="AB76" s="63" t="s">
        <v>145</v>
      </c>
      <c r="AC76" s="21">
        <v>0.0</v>
      </c>
      <c r="AD76" s="21">
        <v>0.0</v>
      </c>
      <c r="AE76" s="22"/>
      <c r="AF76" s="22">
        <v>0.0</v>
      </c>
      <c r="AG76" s="21">
        <v>0.0</v>
      </c>
      <c r="AH76" s="22">
        <v>0.0</v>
      </c>
      <c r="AI76" s="21">
        <v>0.0</v>
      </c>
    </row>
    <row r="77" ht="15.75" customHeight="1">
      <c r="A77" s="23"/>
      <c r="B77" s="11">
        <v>45944.0</v>
      </c>
      <c r="C77" s="12" t="s">
        <v>148</v>
      </c>
      <c r="D77" s="12" t="s">
        <v>22</v>
      </c>
      <c r="E77" s="14" t="s">
        <v>65</v>
      </c>
      <c r="F77" s="30"/>
      <c r="G77" s="30" t="s">
        <v>24</v>
      </c>
      <c r="H77" s="30"/>
      <c r="I77" s="14" t="s">
        <v>111</v>
      </c>
      <c r="J77" s="115"/>
      <c r="K77" s="116" t="str">
        <f t="shared" si="9"/>
        <v/>
      </c>
      <c r="L77" s="117" t="str">
        <f t="shared" si="10"/>
        <v/>
      </c>
      <c r="M77" s="115"/>
      <c r="N77" s="117">
        <v>4.0</v>
      </c>
      <c r="O77" s="118" t="s">
        <v>118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0</v>
      </c>
      <c r="T77" s="117">
        <f t="shared" si="14"/>
        <v>0</v>
      </c>
      <c r="U77" s="120">
        <f t="shared" si="15"/>
        <v>0</v>
      </c>
      <c r="V77" s="117">
        <f t="shared" si="16"/>
        <v>0</v>
      </c>
      <c r="AA77" s="20">
        <v>4.0</v>
      </c>
      <c r="AB77" s="63" t="s">
        <v>118</v>
      </c>
      <c r="AC77" s="21">
        <v>0.0</v>
      </c>
      <c r="AD77" s="21">
        <v>0.0</v>
      </c>
      <c r="AE77" s="22"/>
      <c r="AF77" s="22">
        <v>0.0</v>
      </c>
      <c r="AG77" s="21">
        <v>0.0</v>
      </c>
      <c r="AH77" s="22">
        <v>0.0</v>
      </c>
      <c r="AI77" s="21">
        <v>0.0</v>
      </c>
    </row>
    <row r="78" ht="15.75" customHeight="1">
      <c r="A78" s="23"/>
      <c r="B78" s="11">
        <v>45944.0</v>
      </c>
      <c r="C78" s="12" t="s">
        <v>148</v>
      </c>
      <c r="D78" s="12" t="s">
        <v>22</v>
      </c>
      <c r="E78" s="14" t="s">
        <v>118</v>
      </c>
      <c r="F78" s="30"/>
      <c r="G78" s="30" t="s">
        <v>24</v>
      </c>
      <c r="H78" s="30"/>
      <c r="I78" s="14" t="s">
        <v>64</v>
      </c>
      <c r="J78" s="115"/>
      <c r="K78" s="116" t="str">
        <f t="shared" si="9"/>
        <v/>
      </c>
      <c r="L78" s="117" t="str">
        <f t="shared" si="10"/>
        <v/>
      </c>
      <c r="M78" s="115"/>
      <c r="N78" s="117">
        <v>5.0</v>
      </c>
      <c r="O78" s="118" t="s">
        <v>60</v>
      </c>
      <c r="P78" s="117">
        <f t="shared" si="11"/>
        <v>0</v>
      </c>
      <c r="Q78" s="119">
        <f t="shared" si="12"/>
        <v>0</v>
      </c>
      <c r="R78" s="120"/>
      <c r="S78" s="120">
        <f t="shared" si="13"/>
        <v>0</v>
      </c>
      <c r="T78" s="117">
        <f t="shared" si="14"/>
        <v>0</v>
      </c>
      <c r="U78" s="120">
        <f t="shared" si="15"/>
        <v>0</v>
      </c>
      <c r="V78" s="117">
        <f t="shared" si="16"/>
        <v>0</v>
      </c>
      <c r="AA78" s="20">
        <v>5.0</v>
      </c>
      <c r="AB78" s="63" t="s">
        <v>60</v>
      </c>
      <c r="AC78" s="21">
        <v>0.0</v>
      </c>
      <c r="AD78" s="21">
        <v>0.0</v>
      </c>
      <c r="AE78" s="22"/>
      <c r="AF78" s="22">
        <v>0.0</v>
      </c>
      <c r="AG78" s="21">
        <v>0.0</v>
      </c>
      <c r="AH78" s="22">
        <v>0.0</v>
      </c>
      <c r="AI78" s="21">
        <v>0.0</v>
      </c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40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65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0</v>
      </c>
      <c r="T79" s="117">
        <f t="shared" si="14"/>
        <v>0</v>
      </c>
      <c r="U79" s="120">
        <f t="shared" si="15"/>
        <v>0</v>
      </c>
      <c r="V79" s="117">
        <f t="shared" si="16"/>
        <v>0</v>
      </c>
      <c r="AA79" s="20">
        <v>6.0</v>
      </c>
      <c r="AB79" s="63" t="s">
        <v>65</v>
      </c>
      <c r="AC79" s="21">
        <v>0.0</v>
      </c>
      <c r="AD79" s="21">
        <v>0.0</v>
      </c>
      <c r="AE79" s="22"/>
      <c r="AF79" s="22">
        <v>0.0</v>
      </c>
      <c r="AG79" s="21">
        <v>0.0</v>
      </c>
      <c r="AH79" s="22">
        <v>0.0</v>
      </c>
      <c r="AI79" s="21">
        <v>0.0</v>
      </c>
    </row>
    <row r="80" ht="15.75" customHeight="1">
      <c r="A80" s="58">
        <v>2.0</v>
      </c>
      <c r="B80" s="124"/>
      <c r="C80" s="129"/>
      <c r="D80" s="125"/>
      <c r="E80" s="14" t="s">
        <v>145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134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0</v>
      </c>
      <c r="T80" s="117">
        <f t="shared" si="14"/>
        <v>0</v>
      </c>
      <c r="U80" s="120">
        <f t="shared" si="15"/>
        <v>0</v>
      </c>
      <c r="V80" s="117">
        <f t="shared" si="16"/>
        <v>0</v>
      </c>
      <c r="AA80" s="20">
        <v>7.0</v>
      </c>
      <c r="AB80" s="63" t="s">
        <v>134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</row>
    <row r="81" ht="15.75" customHeight="1">
      <c r="A81" s="23"/>
      <c r="B81" s="11">
        <v>45944.0</v>
      </c>
      <c r="C81" s="12" t="s">
        <v>148</v>
      </c>
      <c r="D81" s="12" t="s">
        <v>22</v>
      </c>
      <c r="E81" s="14" t="s">
        <v>60</v>
      </c>
      <c r="F81" s="30"/>
      <c r="G81" s="30" t="s">
        <v>24</v>
      </c>
      <c r="H81" s="30"/>
      <c r="I81" s="14" t="s">
        <v>39</v>
      </c>
      <c r="J81" s="115"/>
      <c r="K81" s="116" t="str">
        <f t="shared" si="9"/>
        <v/>
      </c>
      <c r="L81" s="117" t="str">
        <f t="shared" si="10"/>
        <v/>
      </c>
      <c r="M81" s="115"/>
      <c r="N81" s="117">
        <v>8.0</v>
      </c>
      <c r="O81" s="118" t="s">
        <v>195</v>
      </c>
      <c r="P81" s="117">
        <f t="shared" si="11"/>
        <v>0</v>
      </c>
      <c r="Q81" s="119">
        <f t="shared" si="12"/>
        <v>0</v>
      </c>
      <c r="R81" s="120"/>
      <c r="S81" s="120">
        <f t="shared" si="13"/>
        <v>0</v>
      </c>
      <c r="T81" s="117">
        <f t="shared" si="14"/>
        <v>0</v>
      </c>
      <c r="U81" s="120">
        <f t="shared" si="15"/>
        <v>0</v>
      </c>
      <c r="V81" s="117">
        <f t="shared" si="16"/>
        <v>0</v>
      </c>
      <c r="AA81" s="20">
        <v>8.0</v>
      </c>
      <c r="AB81" s="63" t="s">
        <v>195</v>
      </c>
      <c r="AC81" s="21">
        <v>0.0</v>
      </c>
      <c r="AD81" s="21">
        <v>0.0</v>
      </c>
      <c r="AE81" s="22"/>
      <c r="AF81" s="22">
        <v>0.0</v>
      </c>
      <c r="AG81" s="21">
        <v>0.0</v>
      </c>
      <c r="AH81" s="22">
        <v>0.0</v>
      </c>
      <c r="AI81" s="21">
        <v>0.0</v>
      </c>
    </row>
    <row r="82" ht="15.75" customHeight="1">
      <c r="A82" s="23"/>
      <c r="B82" s="11">
        <v>45684.0</v>
      </c>
      <c r="C82" s="12" t="s">
        <v>53</v>
      </c>
      <c r="D82" s="12" t="s">
        <v>22</v>
      </c>
      <c r="E82" s="14" t="s">
        <v>134</v>
      </c>
      <c r="F82" s="30"/>
      <c r="G82" s="30" t="s">
        <v>24</v>
      </c>
      <c r="H82" s="30"/>
      <c r="I82" s="14" t="s">
        <v>159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111</v>
      </c>
      <c r="P82" s="117">
        <f t="shared" si="11"/>
        <v>0</v>
      </c>
      <c r="Q82" s="119">
        <f t="shared" si="12"/>
        <v>0</v>
      </c>
      <c r="R82" s="120"/>
      <c r="S82" s="120">
        <f t="shared" si="13"/>
        <v>0</v>
      </c>
      <c r="T82" s="117">
        <f t="shared" si="14"/>
        <v>0</v>
      </c>
      <c r="U82" s="120">
        <f t="shared" si="15"/>
        <v>0</v>
      </c>
      <c r="V82" s="117">
        <f t="shared" si="16"/>
        <v>0</v>
      </c>
      <c r="AA82" s="20">
        <v>9.0</v>
      </c>
      <c r="AB82" s="63" t="s">
        <v>111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</row>
    <row r="83" ht="15.75" customHeight="1">
      <c r="A83" s="23"/>
      <c r="B83" s="11">
        <v>45684.0</v>
      </c>
      <c r="C83" s="12" t="s">
        <v>53</v>
      </c>
      <c r="D83" s="12" t="s">
        <v>22</v>
      </c>
      <c r="E83" s="14" t="s">
        <v>111</v>
      </c>
      <c r="F83" s="30"/>
      <c r="G83" s="30" t="s">
        <v>24</v>
      </c>
      <c r="H83" s="30"/>
      <c r="I83" s="14" t="s">
        <v>195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159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0</v>
      </c>
      <c r="T83" s="117">
        <f t="shared" si="14"/>
        <v>0</v>
      </c>
      <c r="U83" s="120">
        <f t="shared" si="15"/>
        <v>0</v>
      </c>
      <c r="V83" s="117">
        <f t="shared" si="16"/>
        <v>0</v>
      </c>
      <c r="AA83" s="20">
        <v>10.0</v>
      </c>
      <c r="AB83" s="63" t="s">
        <v>159</v>
      </c>
      <c r="AC83" s="21">
        <v>0.0</v>
      </c>
      <c r="AD83" s="21">
        <v>0.0</v>
      </c>
      <c r="AE83" s="22"/>
      <c r="AF83" s="22">
        <v>0.0</v>
      </c>
      <c r="AG83" s="21">
        <v>0.0</v>
      </c>
      <c r="AH83" s="22">
        <v>0.0</v>
      </c>
      <c r="AI83" s="21">
        <v>0.0</v>
      </c>
    </row>
    <row r="84" ht="15.75" customHeight="1">
      <c r="A84" s="23"/>
      <c r="B84" s="11">
        <v>45684.0</v>
      </c>
      <c r="C84" s="12" t="s">
        <v>53</v>
      </c>
      <c r="D84" s="12" t="s">
        <v>22</v>
      </c>
      <c r="E84" s="14" t="s">
        <v>64</v>
      </c>
      <c r="F84" s="30"/>
      <c r="G84" s="30" t="s">
        <v>24</v>
      </c>
      <c r="H84" s="30"/>
      <c r="I84" s="14" t="s">
        <v>65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64</v>
      </c>
      <c r="P84" s="117">
        <f t="shared" si="11"/>
        <v>0</v>
      </c>
      <c r="Q84" s="119">
        <f t="shared" si="12"/>
        <v>0</v>
      </c>
      <c r="S84" s="120">
        <f t="shared" si="13"/>
        <v>0</v>
      </c>
      <c r="T84" s="117">
        <f t="shared" si="14"/>
        <v>0</v>
      </c>
      <c r="U84" s="120">
        <f t="shared" si="15"/>
        <v>0</v>
      </c>
      <c r="V84" s="117">
        <f t="shared" si="16"/>
        <v>0</v>
      </c>
      <c r="AA84" s="48">
        <v>11.0</v>
      </c>
      <c r="AB84" s="63" t="s">
        <v>64</v>
      </c>
      <c r="AC84" s="21">
        <v>0.0</v>
      </c>
      <c r="AD84" s="21">
        <v>0.0</v>
      </c>
      <c r="AE84" s="22"/>
      <c r="AF84" s="22">
        <v>0.0</v>
      </c>
      <c r="AG84" s="21">
        <v>0.0</v>
      </c>
      <c r="AH84" s="22">
        <v>0.0</v>
      </c>
      <c r="AI84" s="21">
        <v>0.0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40</v>
      </c>
      <c r="F85" s="30"/>
      <c r="G85" s="30" t="s">
        <v>24</v>
      </c>
      <c r="H85" s="30"/>
      <c r="I85" s="14" t="s">
        <v>118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4"/>
      <c r="C86" s="125"/>
      <c r="D86" s="125"/>
      <c r="E86" s="14" t="s">
        <v>145</v>
      </c>
      <c r="F86" s="30"/>
      <c r="G86" s="30" t="s">
        <v>24</v>
      </c>
      <c r="H86" s="30"/>
      <c r="I86" s="14" t="s">
        <v>60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3"/>
      <c r="B87" s="124"/>
      <c r="C87" s="125"/>
      <c r="D87" s="125"/>
      <c r="E87" s="14" t="s">
        <v>39</v>
      </c>
      <c r="F87" s="30"/>
      <c r="G87" s="30" t="s">
        <v>24</v>
      </c>
      <c r="H87" s="30"/>
      <c r="I87" s="14" t="s">
        <v>134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</row>
    <row r="88" ht="15.75" customHeight="1">
      <c r="A88" s="23"/>
      <c r="B88" s="124"/>
      <c r="C88" s="125"/>
      <c r="D88" s="125"/>
      <c r="E88" s="14" t="s">
        <v>159</v>
      </c>
      <c r="F88" s="30"/>
      <c r="G88" s="30" t="s">
        <v>24</v>
      </c>
      <c r="H88" s="30"/>
      <c r="I88" s="14" t="s">
        <v>111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</row>
    <row r="89" ht="15.75" customHeight="1">
      <c r="A89" s="23"/>
      <c r="B89" s="124"/>
      <c r="C89" s="125"/>
      <c r="D89" s="125"/>
      <c r="E89" s="14" t="s">
        <v>195</v>
      </c>
      <c r="F89" s="30"/>
      <c r="G89" s="30" t="s">
        <v>24</v>
      </c>
      <c r="H89" s="30"/>
      <c r="I89" s="14" t="s">
        <v>64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</row>
    <row r="90" ht="15.75" customHeight="1">
      <c r="A90" s="23"/>
      <c r="B90" s="124"/>
      <c r="C90" s="125"/>
      <c r="D90" s="125"/>
      <c r="E90" s="14" t="s">
        <v>65</v>
      </c>
      <c r="F90" s="30"/>
      <c r="G90" s="30" t="s">
        <v>24</v>
      </c>
      <c r="H90" s="30"/>
      <c r="I90" s="14" t="s">
        <v>40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118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</row>
    <row r="92" ht="15.75" customHeight="1">
      <c r="A92" s="134">
        <v>4.0</v>
      </c>
      <c r="B92" s="124"/>
      <c r="C92" s="125"/>
      <c r="D92" s="125"/>
      <c r="E92" s="14" t="s">
        <v>60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</row>
    <row r="93" ht="15.75" customHeight="1">
      <c r="A93" s="23"/>
      <c r="B93" s="124"/>
      <c r="C93" s="125"/>
      <c r="D93" s="125"/>
      <c r="E93" s="14" t="s">
        <v>134</v>
      </c>
      <c r="F93" s="30"/>
      <c r="G93" s="30" t="s">
        <v>24</v>
      </c>
      <c r="H93" s="30"/>
      <c r="I93" s="14" t="s">
        <v>145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</row>
    <row r="94" ht="15.75" customHeight="1">
      <c r="A94" s="23"/>
      <c r="B94" s="124"/>
      <c r="C94" s="125"/>
      <c r="D94" s="125"/>
      <c r="E94" s="14" t="s">
        <v>111</v>
      </c>
      <c r="F94" s="30"/>
      <c r="G94" s="30" t="s">
        <v>24</v>
      </c>
      <c r="H94" s="30"/>
      <c r="I94" s="14" t="s">
        <v>39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</row>
    <row r="95" ht="15.75" customHeight="1">
      <c r="A95" s="23"/>
      <c r="B95" s="124"/>
      <c r="C95" s="125"/>
      <c r="D95" s="125"/>
      <c r="E95" s="14" t="s">
        <v>64</v>
      </c>
      <c r="F95" s="30"/>
      <c r="G95" s="30" t="s">
        <v>24</v>
      </c>
      <c r="H95" s="30"/>
      <c r="I95" s="14" t="s">
        <v>159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</row>
    <row r="96" ht="15.75" customHeight="1">
      <c r="A96" s="23"/>
      <c r="B96" s="124"/>
      <c r="C96" s="125"/>
      <c r="D96" s="125"/>
      <c r="E96" s="14" t="s">
        <v>40</v>
      </c>
      <c r="F96" s="30"/>
      <c r="G96" s="30" t="s">
        <v>24</v>
      </c>
      <c r="H96" s="30"/>
      <c r="I96" s="14" t="s">
        <v>195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</row>
    <row r="97" ht="15.75" customHeight="1">
      <c r="A97" s="23"/>
      <c r="B97" s="124"/>
      <c r="C97" s="125"/>
      <c r="D97" s="125"/>
      <c r="E97" s="14" t="s">
        <v>118</v>
      </c>
      <c r="F97" s="30"/>
      <c r="G97" s="30" t="s">
        <v>24</v>
      </c>
      <c r="H97" s="30"/>
      <c r="I97" s="14" t="s">
        <v>65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4"/>
      <c r="C98" s="125"/>
      <c r="D98" s="125"/>
      <c r="E98" s="14" t="s">
        <v>60</v>
      </c>
      <c r="F98" s="30"/>
      <c r="G98" s="30" t="s">
        <v>24</v>
      </c>
      <c r="H98" s="30"/>
      <c r="I98" s="14" t="s">
        <v>134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</row>
    <row r="99" ht="15.75" customHeight="1">
      <c r="A99" s="23"/>
      <c r="B99" s="124"/>
      <c r="C99" s="125"/>
      <c r="D99" s="125"/>
      <c r="E99" s="14" t="s">
        <v>145</v>
      </c>
      <c r="F99" s="125"/>
      <c r="G99" s="30" t="s">
        <v>24</v>
      </c>
      <c r="H99" s="30"/>
      <c r="I99" s="14" t="s">
        <v>111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</row>
    <row r="100" ht="15.75" customHeight="1">
      <c r="A100" s="23"/>
      <c r="B100" s="124"/>
      <c r="C100" s="125"/>
      <c r="D100" s="125"/>
      <c r="E100" s="14" t="s">
        <v>39</v>
      </c>
      <c r="F100" s="125"/>
      <c r="G100" s="30" t="s">
        <v>24</v>
      </c>
      <c r="H100" s="30"/>
      <c r="I100" s="14" t="s">
        <v>64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</row>
    <row r="101" ht="15.75" customHeight="1">
      <c r="A101" s="23"/>
      <c r="B101" s="124"/>
      <c r="C101" s="125"/>
      <c r="D101" s="125"/>
      <c r="E101" s="14" t="s">
        <v>159</v>
      </c>
      <c r="F101" s="125"/>
      <c r="G101" s="30" t="s">
        <v>24</v>
      </c>
      <c r="H101" s="30"/>
      <c r="I101" s="14" t="s">
        <v>40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</row>
    <row r="102" ht="15.75" customHeight="1">
      <c r="A102" s="23"/>
      <c r="B102" s="124"/>
      <c r="C102" s="125"/>
      <c r="D102" s="125"/>
      <c r="E102" s="14" t="s">
        <v>195</v>
      </c>
      <c r="F102" s="125"/>
      <c r="G102" s="30" t="s">
        <v>24</v>
      </c>
      <c r="H102" s="30"/>
      <c r="I102" s="14" t="s">
        <v>118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65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4"/>
      <c r="C104" s="129"/>
      <c r="D104" s="125"/>
      <c r="E104" s="14" t="s">
        <v>134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</row>
    <row r="105" ht="15.75" customHeight="1">
      <c r="A105" s="23"/>
      <c r="B105" s="124"/>
      <c r="C105" s="125"/>
      <c r="D105" s="125"/>
      <c r="E105" s="14" t="s">
        <v>111</v>
      </c>
      <c r="F105" s="30"/>
      <c r="G105" s="30" t="s">
        <v>24</v>
      </c>
      <c r="H105" s="30"/>
      <c r="I105" s="14" t="s">
        <v>60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</row>
    <row r="106" ht="15.75" customHeight="1">
      <c r="A106" s="23"/>
      <c r="B106" s="124"/>
      <c r="C106" s="125"/>
      <c r="D106" s="125"/>
      <c r="E106" s="14" t="s">
        <v>64</v>
      </c>
      <c r="F106" s="30"/>
      <c r="G106" s="30" t="s">
        <v>24</v>
      </c>
      <c r="H106" s="30"/>
      <c r="I106" s="14" t="s">
        <v>145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</row>
    <row r="107" ht="15.75" customHeight="1">
      <c r="A107" s="23"/>
      <c r="B107" s="124"/>
      <c r="C107" s="129"/>
      <c r="D107" s="125"/>
      <c r="E107" s="14" t="s">
        <v>40</v>
      </c>
      <c r="F107" s="30"/>
      <c r="G107" s="30" t="s">
        <v>24</v>
      </c>
      <c r="H107" s="30"/>
      <c r="I107" s="14" t="s">
        <v>39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</row>
    <row r="108" ht="15.75" customHeight="1">
      <c r="A108" s="23"/>
      <c r="B108" s="124"/>
      <c r="C108" s="125"/>
      <c r="D108" s="125"/>
      <c r="E108" s="14" t="s">
        <v>118</v>
      </c>
      <c r="F108" s="30"/>
      <c r="G108" s="30" t="s">
        <v>24</v>
      </c>
      <c r="H108" s="30"/>
      <c r="I108" s="14" t="s">
        <v>159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4"/>
      <c r="C109" s="125"/>
      <c r="D109" s="125"/>
      <c r="E109" s="14" t="s">
        <v>65</v>
      </c>
      <c r="F109" s="30"/>
      <c r="G109" s="30" t="s">
        <v>24</v>
      </c>
      <c r="H109" s="30"/>
      <c r="I109" s="14" t="s">
        <v>195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4"/>
      <c r="C110" s="129"/>
      <c r="D110" s="125"/>
      <c r="E110" s="14" t="s">
        <v>134</v>
      </c>
      <c r="F110" s="30"/>
      <c r="G110" s="30" t="s">
        <v>24</v>
      </c>
      <c r="H110" s="30"/>
      <c r="I110" s="14" t="s">
        <v>111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</row>
    <row r="111" ht="15.75" customHeight="1">
      <c r="A111" s="23"/>
      <c r="B111" s="124"/>
      <c r="C111" s="129"/>
      <c r="D111" s="125"/>
      <c r="E111" s="14" t="s">
        <v>60</v>
      </c>
      <c r="F111" s="30"/>
      <c r="G111" s="30" t="s">
        <v>24</v>
      </c>
      <c r="H111" s="30"/>
      <c r="I111" s="14" t="s">
        <v>64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</row>
    <row r="112" ht="15.75" customHeight="1">
      <c r="A112" s="23"/>
      <c r="B112" s="124"/>
      <c r="C112" s="129"/>
      <c r="D112" s="125"/>
      <c r="E112" s="14" t="s">
        <v>145</v>
      </c>
      <c r="F112" s="30"/>
      <c r="G112" s="30" t="s">
        <v>24</v>
      </c>
      <c r="H112" s="30"/>
      <c r="I112" s="14" t="s">
        <v>40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</row>
    <row r="113" ht="15.75" customHeight="1">
      <c r="A113" s="23"/>
      <c r="B113" s="124"/>
      <c r="C113" s="129"/>
      <c r="D113" s="125"/>
      <c r="E113" s="14" t="s">
        <v>39</v>
      </c>
      <c r="F113" s="30"/>
      <c r="G113" s="30" t="s">
        <v>24</v>
      </c>
      <c r="H113" s="30"/>
      <c r="I113" s="14" t="s">
        <v>118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</row>
    <row r="114" ht="15.75" customHeight="1">
      <c r="A114" s="23"/>
      <c r="B114" s="124"/>
      <c r="C114" s="125"/>
      <c r="D114" s="125"/>
      <c r="E114" s="14" t="s">
        <v>159</v>
      </c>
      <c r="F114" s="30"/>
      <c r="G114" s="30" t="s">
        <v>24</v>
      </c>
      <c r="H114" s="30"/>
      <c r="I114" s="14" t="s">
        <v>65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195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4"/>
      <c r="C116" s="129"/>
      <c r="D116" s="125"/>
      <c r="E116" s="14" t="s">
        <v>111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</row>
    <row r="117" ht="15.75" customHeight="1">
      <c r="A117" s="23"/>
      <c r="B117" s="124"/>
      <c r="C117" s="129"/>
      <c r="D117" s="125"/>
      <c r="E117" s="14" t="s">
        <v>64</v>
      </c>
      <c r="F117" s="30"/>
      <c r="G117" s="30" t="s">
        <v>24</v>
      </c>
      <c r="H117" s="30"/>
      <c r="I117" s="14" t="s">
        <v>134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</row>
    <row r="118" ht="15.75" customHeight="1">
      <c r="A118" s="23"/>
      <c r="B118" s="124"/>
      <c r="C118" s="129"/>
      <c r="D118" s="125"/>
      <c r="E118" s="14" t="s">
        <v>40</v>
      </c>
      <c r="F118" s="30"/>
      <c r="G118" s="30" t="s">
        <v>24</v>
      </c>
      <c r="H118" s="30"/>
      <c r="I118" s="14" t="s">
        <v>60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</row>
    <row r="119" ht="15.75" customHeight="1">
      <c r="A119" s="23"/>
      <c r="B119" s="124"/>
      <c r="C119" s="129"/>
      <c r="D119" s="125"/>
      <c r="E119" s="14" t="s">
        <v>118</v>
      </c>
      <c r="F119" s="30"/>
      <c r="G119" s="30" t="s">
        <v>24</v>
      </c>
      <c r="H119" s="30"/>
      <c r="I119" s="14" t="s">
        <v>145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</row>
    <row r="120" ht="15.75" customHeight="1">
      <c r="A120" s="23"/>
      <c r="B120" s="124"/>
      <c r="C120" s="125"/>
      <c r="D120" s="125"/>
      <c r="E120" s="14" t="s">
        <v>65</v>
      </c>
      <c r="F120" s="30"/>
      <c r="G120" s="30" t="s">
        <v>24</v>
      </c>
      <c r="H120" s="30"/>
      <c r="I120" s="14" t="s">
        <v>39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4"/>
      <c r="C121" s="125"/>
      <c r="D121" s="125"/>
      <c r="E121" s="14" t="s">
        <v>195</v>
      </c>
      <c r="F121" s="30"/>
      <c r="G121" s="30" t="s">
        <v>24</v>
      </c>
      <c r="H121" s="30"/>
      <c r="I121" s="14" t="s">
        <v>159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4"/>
      <c r="C122" s="129"/>
      <c r="D122" s="125"/>
      <c r="E122" s="14" t="s">
        <v>111</v>
      </c>
      <c r="F122" s="30"/>
      <c r="G122" s="30" t="s">
        <v>24</v>
      </c>
      <c r="H122" s="30"/>
      <c r="I122" s="14" t="s">
        <v>64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</row>
    <row r="123" ht="15.75" customHeight="1">
      <c r="A123" s="23"/>
      <c r="B123" s="124"/>
      <c r="C123" s="129"/>
      <c r="D123" s="125"/>
      <c r="E123" s="14" t="s">
        <v>134</v>
      </c>
      <c r="F123" s="30"/>
      <c r="G123" s="30" t="s">
        <v>24</v>
      </c>
      <c r="H123" s="30"/>
      <c r="I123" s="14" t="s">
        <v>40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</row>
    <row r="124" ht="15.75" customHeight="1">
      <c r="A124" s="23"/>
      <c r="B124" s="124"/>
      <c r="C124" s="129"/>
      <c r="D124" s="125"/>
      <c r="E124" s="14" t="s">
        <v>60</v>
      </c>
      <c r="F124" s="30"/>
      <c r="G124" s="30" t="s">
        <v>24</v>
      </c>
      <c r="H124" s="30"/>
      <c r="I124" s="14" t="s">
        <v>118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</row>
    <row r="125" ht="15.75" customHeight="1">
      <c r="A125" s="23"/>
      <c r="B125" s="124"/>
      <c r="C125" s="129"/>
      <c r="D125" s="125"/>
      <c r="E125" s="14" t="s">
        <v>145</v>
      </c>
      <c r="F125" s="30"/>
      <c r="G125" s="30" t="s">
        <v>24</v>
      </c>
      <c r="H125" s="30"/>
      <c r="I125" s="14" t="s">
        <v>65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</row>
    <row r="126" ht="15.75" customHeight="1">
      <c r="A126" s="23"/>
      <c r="B126" s="124"/>
      <c r="C126" s="125"/>
      <c r="D126" s="125"/>
      <c r="E126" s="14" t="s">
        <v>39</v>
      </c>
      <c r="F126" s="30"/>
      <c r="G126" s="30" t="s">
        <v>24</v>
      </c>
      <c r="H126" s="30"/>
      <c r="I126" s="14" t="s">
        <v>195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159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64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</row>
    <row r="129" ht="15.75" customHeight="1">
      <c r="A129" s="23"/>
      <c r="B129" s="124"/>
      <c r="C129" s="129"/>
      <c r="D129" s="125"/>
      <c r="E129" s="14" t="s">
        <v>40</v>
      </c>
      <c r="F129" s="30"/>
      <c r="G129" s="30" t="s">
        <v>24</v>
      </c>
      <c r="H129" s="30"/>
      <c r="I129" s="14" t="s">
        <v>111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</row>
    <row r="130" ht="15.75" customHeight="1">
      <c r="A130" s="23"/>
      <c r="B130" s="124"/>
      <c r="C130" s="129"/>
      <c r="D130" s="125"/>
      <c r="E130" s="14" t="s">
        <v>118</v>
      </c>
      <c r="F130" s="30"/>
      <c r="G130" s="30" t="s">
        <v>24</v>
      </c>
      <c r="H130" s="30"/>
      <c r="I130" s="14" t="s">
        <v>134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</row>
    <row r="131" ht="15.75" customHeight="1">
      <c r="A131" s="23"/>
      <c r="B131" s="124"/>
      <c r="C131" s="129"/>
      <c r="D131" s="125"/>
      <c r="E131" s="14" t="s">
        <v>65</v>
      </c>
      <c r="F131" s="30"/>
      <c r="G131" s="30" t="s">
        <v>24</v>
      </c>
      <c r="H131" s="30"/>
      <c r="I131" s="14" t="s">
        <v>60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</row>
    <row r="132" ht="15.75" customHeight="1">
      <c r="A132" s="23"/>
      <c r="B132" s="124"/>
      <c r="C132" s="125"/>
      <c r="D132" s="125"/>
      <c r="E132" s="14" t="s">
        <v>195</v>
      </c>
      <c r="F132" s="30"/>
      <c r="G132" s="30" t="s">
        <v>24</v>
      </c>
      <c r="H132" s="30"/>
      <c r="I132" s="14" t="s">
        <v>145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4"/>
      <c r="C133" s="125"/>
      <c r="D133" s="125"/>
      <c r="E133" s="14" t="s">
        <v>159</v>
      </c>
      <c r="F133" s="30"/>
      <c r="G133" s="30" t="s">
        <v>24</v>
      </c>
      <c r="H133" s="30"/>
      <c r="I133" s="14" t="s">
        <v>39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4"/>
      <c r="C134" s="129"/>
      <c r="D134" s="125"/>
      <c r="E134" s="14" t="s">
        <v>64</v>
      </c>
      <c r="F134" s="13"/>
      <c r="G134" s="30" t="s">
        <v>24</v>
      </c>
      <c r="H134" s="13"/>
      <c r="I134" s="14" t="s">
        <v>40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</row>
    <row r="135" ht="15.75" customHeight="1">
      <c r="A135" s="23"/>
      <c r="B135" s="124"/>
      <c r="C135" s="129"/>
      <c r="D135" s="125"/>
      <c r="E135" s="14" t="s">
        <v>111</v>
      </c>
      <c r="F135" s="30"/>
      <c r="G135" s="30" t="s">
        <v>24</v>
      </c>
      <c r="H135" s="30"/>
      <c r="I135" s="14" t="s">
        <v>118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</row>
    <row r="136" ht="15.75" customHeight="1">
      <c r="A136" s="23"/>
      <c r="B136" s="124"/>
      <c r="C136" s="129"/>
      <c r="D136" s="125"/>
      <c r="E136" s="14" t="s">
        <v>134</v>
      </c>
      <c r="F136" s="13"/>
      <c r="G136" s="30" t="s">
        <v>24</v>
      </c>
      <c r="H136" s="13"/>
      <c r="I136" s="14" t="s">
        <v>65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</row>
    <row r="137" ht="15.75" customHeight="1">
      <c r="A137" s="23"/>
      <c r="B137" s="124"/>
      <c r="C137" s="129"/>
      <c r="D137" s="125"/>
      <c r="E137" s="14" t="s">
        <v>60</v>
      </c>
      <c r="F137" s="30"/>
      <c r="G137" s="30" t="s">
        <v>24</v>
      </c>
      <c r="H137" s="30"/>
      <c r="I137" s="14" t="s">
        <v>195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</row>
    <row r="138" ht="15.75" customHeight="1">
      <c r="A138" s="23"/>
      <c r="B138" s="124"/>
      <c r="C138" s="125"/>
      <c r="D138" s="125"/>
      <c r="E138" s="14" t="s">
        <v>145</v>
      </c>
      <c r="F138" s="13"/>
      <c r="G138" s="30" t="s">
        <v>24</v>
      </c>
      <c r="H138" s="13"/>
      <c r="I138" s="14" t="s">
        <v>159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4"/>
      <c r="C139" s="125"/>
      <c r="D139" s="125"/>
      <c r="E139" s="14" t="s">
        <v>39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</row>
    <row r="144" ht="15.75" customHeight="1">
      <c r="A144" s="139" t="s">
        <v>197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30"/>
      <c r="G146" s="30" t="s">
        <v>24</v>
      </c>
      <c r="H146" s="30"/>
      <c r="I146" s="14" t="s">
        <v>56</v>
      </c>
      <c r="J146" s="115"/>
      <c r="K146" s="116" t="str">
        <f t="shared" ref="K146:K211" si="17">IFS(F146=H146+2,3,F146=H146-2,0,F146=H146+1,2,F146=H146-1,1,F146="","")</f>
        <v/>
      </c>
      <c r="L146" s="117" t="str">
        <f t="shared" ref="L146:L211" si="18">IFS(H146=F146+2,3,H146=F146-2,0,H146=F146+1,2,H146=F146-1,1,H146="","")</f>
        <v/>
      </c>
      <c r="M146" s="115"/>
      <c r="N146" s="117">
        <v>1.0</v>
      </c>
      <c r="O146" s="118" t="s">
        <v>122</v>
      </c>
      <c r="P146" s="117">
        <f t="shared" ref="P146:P156" si="19">SUMIF(E$146:E$211,O146,K$146:K$211)+SUMIF(I$146:I$211,O146,L$146:L$211)</f>
        <v>0</v>
      </c>
      <c r="Q146" s="119">
        <f t="shared" ref="Q146:Q156" si="20">COUNTIFS(E$146:E$211,O146,K$146:K$211,2)+COUNTIFS(I$146:I$211,O146,L$146:L$211,2)+COUNTIFS(E$146:E$211,O146,K$146:K$211,3)+COUNTIFS(I$146:I$211,O146,L$146:L$211,3)</f>
        <v>0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0</v>
      </c>
      <c r="U146" s="120">
        <f t="shared" ref="U146:U156" si="23">SUMIF(E$146:E$211,O146,H$146:H$211)+SUMIF(I$146:I$211,O146,F$146:F$211)</f>
        <v>0</v>
      </c>
      <c r="V146" s="117">
        <f t="shared" ref="V146:V156" si="24">T146-U146</f>
        <v>0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LLC</v>
      </c>
      <c r="AC146" s="21">
        <v>0.0</v>
      </c>
      <c r="AD146" s="21">
        <v>0.0</v>
      </c>
      <c r="AE146" s="22"/>
      <c r="AF146" s="22">
        <v>0.0</v>
      </c>
      <c r="AG146" s="21">
        <v>0.0</v>
      </c>
      <c r="AH146" s="22">
        <v>0.0</v>
      </c>
      <c r="AI146" s="21">
        <v>0.0</v>
      </c>
    </row>
    <row r="147" ht="15.75" customHeight="1">
      <c r="A147" s="23"/>
      <c r="B147" s="11">
        <v>45944.0</v>
      </c>
      <c r="C147" s="12" t="s">
        <v>149</v>
      </c>
      <c r="D147" s="12" t="s">
        <v>22</v>
      </c>
      <c r="E147" s="14" t="s">
        <v>45</v>
      </c>
      <c r="F147" s="13"/>
      <c r="G147" s="30" t="s">
        <v>24</v>
      </c>
      <c r="H147" s="13"/>
      <c r="I147" s="14" t="s">
        <v>43</v>
      </c>
      <c r="J147" s="115"/>
      <c r="K147" s="116" t="str">
        <f t="shared" si="17"/>
        <v/>
      </c>
      <c r="L147" s="117" t="str">
        <f t="shared" si="18"/>
        <v/>
      </c>
      <c r="M147" s="115"/>
      <c r="N147" s="117">
        <v>2.0</v>
      </c>
      <c r="O147" s="118" t="s">
        <v>144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144</v>
      </c>
      <c r="AC147" s="21">
        <v>0.0</v>
      </c>
      <c r="AD147" s="21">
        <v>0.0</v>
      </c>
      <c r="AE147" s="22"/>
      <c r="AF147" s="22">
        <v>0.0</v>
      </c>
      <c r="AG147" s="21">
        <v>0.0</v>
      </c>
      <c r="AH147" s="22">
        <v>0.0</v>
      </c>
      <c r="AI147" s="21">
        <v>0.0</v>
      </c>
    </row>
    <row r="148" ht="15.75" customHeight="1">
      <c r="A148" s="23"/>
      <c r="B148" s="11">
        <v>45944.0</v>
      </c>
      <c r="C148" s="12" t="s">
        <v>149</v>
      </c>
      <c r="D148" s="12" t="s">
        <v>22</v>
      </c>
      <c r="E148" s="14" t="s">
        <v>198</v>
      </c>
      <c r="F148" s="30"/>
      <c r="G148" s="30" t="s">
        <v>24</v>
      </c>
      <c r="H148" s="30"/>
      <c r="I148" s="14" t="s">
        <v>62</v>
      </c>
      <c r="J148" s="115"/>
      <c r="K148" s="116" t="str">
        <f t="shared" si="17"/>
        <v/>
      </c>
      <c r="L148" s="117" t="str">
        <f t="shared" si="18"/>
        <v/>
      </c>
      <c r="M148" s="115"/>
      <c r="N148" s="117">
        <v>3.0</v>
      </c>
      <c r="O148" s="118" t="s">
        <v>56</v>
      </c>
      <c r="P148" s="117">
        <f t="shared" si="19"/>
        <v>0</v>
      </c>
      <c r="Q148" s="119">
        <f t="shared" si="20"/>
        <v>0</v>
      </c>
      <c r="R148" s="120"/>
      <c r="S148" s="120">
        <f t="shared" si="21"/>
        <v>0</v>
      </c>
      <c r="T148" s="117">
        <f t="shared" si="22"/>
        <v>0</v>
      </c>
      <c r="U148" s="120">
        <f t="shared" si="23"/>
        <v>0</v>
      </c>
      <c r="V148" s="117">
        <f t="shared" si="24"/>
        <v>0</v>
      </c>
      <c r="X148" s="108" t="s">
        <v>40</v>
      </c>
      <c r="Y148" s="108">
        <v>0.0</v>
      </c>
      <c r="AA148" s="20">
        <v>3.0</v>
      </c>
      <c r="AB148" s="63" t="s">
        <v>56</v>
      </c>
      <c r="AC148" s="21">
        <v>0.0</v>
      </c>
      <c r="AD148" s="21">
        <v>0.0</v>
      </c>
      <c r="AE148" s="22"/>
      <c r="AF148" s="22">
        <v>0.0</v>
      </c>
      <c r="AG148" s="21">
        <v>0.0</v>
      </c>
      <c r="AH148" s="22">
        <v>0.0</v>
      </c>
      <c r="AI148" s="21">
        <v>0.0</v>
      </c>
    </row>
    <row r="149" ht="15.75" customHeight="1">
      <c r="A149" s="23"/>
      <c r="B149" s="11">
        <v>45944.0</v>
      </c>
      <c r="C149" s="12" t="s">
        <v>199</v>
      </c>
      <c r="D149" s="12" t="s">
        <v>22</v>
      </c>
      <c r="E149" s="14" t="s">
        <v>55</v>
      </c>
      <c r="F149" s="30"/>
      <c r="G149" s="30" t="s">
        <v>24</v>
      </c>
      <c r="H149" s="30"/>
      <c r="I149" s="14" t="s">
        <v>112</v>
      </c>
      <c r="J149" s="115"/>
      <c r="K149" s="116" t="str">
        <f t="shared" si="17"/>
        <v/>
      </c>
      <c r="L149" s="117" t="str">
        <f t="shared" si="18"/>
        <v/>
      </c>
      <c r="M149" s="115"/>
      <c r="N149" s="117">
        <v>4.0</v>
      </c>
      <c r="O149" s="118" t="s">
        <v>59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0</v>
      </c>
      <c r="T149" s="117">
        <f t="shared" si="22"/>
        <v>0</v>
      </c>
      <c r="U149" s="120">
        <f t="shared" si="23"/>
        <v>0</v>
      </c>
      <c r="V149" s="117">
        <f t="shared" si="24"/>
        <v>0</v>
      </c>
      <c r="AA149" s="20">
        <v>4.0</v>
      </c>
      <c r="AB149" s="63" t="s">
        <v>59</v>
      </c>
      <c r="AC149" s="21">
        <v>0.0</v>
      </c>
      <c r="AD149" s="21">
        <v>0.0</v>
      </c>
      <c r="AE149" s="22"/>
      <c r="AF149" s="22">
        <v>0.0</v>
      </c>
      <c r="AG149" s="21">
        <v>0.0</v>
      </c>
      <c r="AH149" s="22">
        <v>0.0</v>
      </c>
      <c r="AI149" s="21">
        <v>0.0</v>
      </c>
    </row>
    <row r="150" ht="15.75" customHeight="1">
      <c r="A150" s="23"/>
      <c r="B150" s="11">
        <v>45944.0</v>
      </c>
      <c r="C150" s="12" t="s">
        <v>199</v>
      </c>
      <c r="D150" s="12" t="s">
        <v>22</v>
      </c>
      <c r="E150" s="14" t="s">
        <v>59</v>
      </c>
      <c r="F150" s="13"/>
      <c r="G150" s="30" t="s">
        <v>24</v>
      </c>
      <c r="H150" s="13"/>
      <c r="I150" s="14" t="s">
        <v>33</v>
      </c>
      <c r="J150" s="115"/>
      <c r="K150" s="116" t="str">
        <f t="shared" si="17"/>
        <v/>
      </c>
      <c r="L150" s="117" t="str">
        <f t="shared" si="18"/>
        <v/>
      </c>
      <c r="M150" s="115"/>
      <c r="N150" s="117">
        <v>5.0</v>
      </c>
      <c r="O150" s="118" t="s">
        <v>43</v>
      </c>
      <c r="P150" s="117">
        <f t="shared" si="19"/>
        <v>0</v>
      </c>
      <c r="Q150" s="119">
        <f t="shared" si="20"/>
        <v>0</v>
      </c>
      <c r="R150" s="120"/>
      <c r="S150" s="120">
        <f t="shared" si="21"/>
        <v>0</v>
      </c>
      <c r="T150" s="117">
        <f t="shared" si="22"/>
        <v>0</v>
      </c>
      <c r="U150" s="120">
        <f t="shared" si="23"/>
        <v>0</v>
      </c>
      <c r="V150" s="117">
        <f t="shared" si="24"/>
        <v>0</v>
      </c>
      <c r="AA150" s="20">
        <v>5.0</v>
      </c>
      <c r="AB150" s="63" t="s">
        <v>43</v>
      </c>
      <c r="AC150" s="21">
        <v>0.0</v>
      </c>
      <c r="AD150" s="21">
        <v>0.0</v>
      </c>
      <c r="AE150" s="22"/>
      <c r="AF150" s="22">
        <v>0.0</v>
      </c>
      <c r="AG150" s="21">
        <v>0.0</v>
      </c>
      <c r="AH150" s="22">
        <v>0.0</v>
      </c>
      <c r="AI150" s="21">
        <v>0.0</v>
      </c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144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55</v>
      </c>
      <c r="P151" s="117">
        <f t="shared" si="19"/>
        <v>0</v>
      </c>
      <c r="Q151" s="119">
        <f t="shared" si="20"/>
        <v>0</v>
      </c>
      <c r="R151" s="120"/>
      <c r="S151" s="120">
        <f t="shared" si="21"/>
        <v>0</v>
      </c>
      <c r="T151" s="117">
        <f t="shared" si="22"/>
        <v>0</v>
      </c>
      <c r="U151" s="120">
        <f t="shared" si="23"/>
        <v>0</v>
      </c>
      <c r="V151" s="117">
        <f t="shared" si="24"/>
        <v>0</v>
      </c>
      <c r="AA151" s="20">
        <v>6.0</v>
      </c>
      <c r="AB151" s="63" t="s">
        <v>55</v>
      </c>
      <c r="AC151" s="21">
        <v>0.0</v>
      </c>
      <c r="AD151" s="21">
        <v>0.0</v>
      </c>
      <c r="AE151" s="22"/>
      <c r="AF151" s="22">
        <v>0.0</v>
      </c>
      <c r="AG151" s="21">
        <v>0.0</v>
      </c>
      <c r="AH151" s="22">
        <v>0.0</v>
      </c>
      <c r="AI151" s="21">
        <v>0.0</v>
      </c>
    </row>
    <row r="152" ht="15.75" customHeight="1">
      <c r="A152" s="58">
        <v>2.0</v>
      </c>
      <c r="B152" s="124"/>
      <c r="C152" s="129"/>
      <c r="D152" s="125"/>
      <c r="E152" s="14" t="s">
        <v>56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62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0</v>
      </c>
      <c r="T152" s="117">
        <f t="shared" si="22"/>
        <v>0</v>
      </c>
      <c r="U152" s="120">
        <f t="shared" si="23"/>
        <v>0</v>
      </c>
      <c r="V152" s="117">
        <f t="shared" si="24"/>
        <v>0</v>
      </c>
      <c r="AA152" s="20">
        <v>7.0</v>
      </c>
      <c r="AB152" s="63" t="s">
        <v>62</v>
      </c>
      <c r="AC152" s="21">
        <v>0.0</v>
      </c>
      <c r="AD152" s="21">
        <v>0.0</v>
      </c>
      <c r="AE152" s="22"/>
      <c r="AF152" s="22">
        <v>0.0</v>
      </c>
      <c r="AG152" s="21">
        <v>0.0</v>
      </c>
      <c r="AH152" s="22">
        <v>0.0</v>
      </c>
      <c r="AI152" s="21">
        <v>0.0</v>
      </c>
    </row>
    <row r="153" ht="15.75" customHeight="1">
      <c r="A153" s="23"/>
      <c r="B153" s="11">
        <v>45944.0</v>
      </c>
      <c r="C153" s="12" t="s">
        <v>199</v>
      </c>
      <c r="D153" s="12" t="s">
        <v>22</v>
      </c>
      <c r="E153" s="14" t="s">
        <v>43</v>
      </c>
      <c r="F153" s="30"/>
      <c r="G153" s="30" t="s">
        <v>24</v>
      </c>
      <c r="H153" s="30"/>
      <c r="I153" s="14" t="s">
        <v>122</v>
      </c>
      <c r="J153" s="115"/>
      <c r="K153" s="116" t="str">
        <f t="shared" si="17"/>
        <v/>
      </c>
      <c r="L153" s="117" t="str">
        <f t="shared" si="18"/>
        <v/>
      </c>
      <c r="M153" s="115"/>
      <c r="N153" s="117">
        <v>8.0</v>
      </c>
      <c r="O153" s="118" t="s">
        <v>198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0</v>
      </c>
      <c r="T153" s="117">
        <f t="shared" si="22"/>
        <v>0</v>
      </c>
      <c r="U153" s="120">
        <f t="shared" si="23"/>
        <v>0</v>
      </c>
      <c r="V153" s="117">
        <f t="shared" si="24"/>
        <v>0</v>
      </c>
      <c r="AA153" s="20">
        <v>8.0</v>
      </c>
      <c r="AB153" s="63" t="s">
        <v>198</v>
      </c>
      <c r="AC153" s="21">
        <v>0.0</v>
      </c>
      <c r="AD153" s="21">
        <v>0.0</v>
      </c>
      <c r="AE153" s="22"/>
      <c r="AF153" s="22">
        <v>0.0</v>
      </c>
      <c r="AG153" s="21">
        <v>0.0</v>
      </c>
      <c r="AH153" s="22">
        <v>0.0</v>
      </c>
      <c r="AI153" s="21">
        <v>0.0</v>
      </c>
    </row>
    <row r="154" ht="15.75" customHeight="1">
      <c r="A154" s="23"/>
      <c r="B154" s="11">
        <v>45959.0</v>
      </c>
      <c r="C154" s="64" t="s">
        <v>142</v>
      </c>
      <c r="D154" s="12" t="s">
        <v>22</v>
      </c>
      <c r="E154" s="14" t="s">
        <v>62</v>
      </c>
      <c r="F154" s="30"/>
      <c r="G154" s="30" t="s">
        <v>24</v>
      </c>
      <c r="H154" s="30"/>
      <c r="I154" s="14" t="s">
        <v>45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112</v>
      </c>
      <c r="P154" s="117">
        <f t="shared" si="19"/>
        <v>0</v>
      </c>
      <c r="Q154" s="119">
        <f t="shared" si="20"/>
        <v>0</v>
      </c>
      <c r="R154" s="120"/>
      <c r="S154" s="120">
        <f t="shared" si="21"/>
        <v>0</v>
      </c>
      <c r="T154" s="117">
        <f t="shared" si="22"/>
        <v>0</v>
      </c>
      <c r="U154" s="120">
        <f t="shared" si="23"/>
        <v>0</v>
      </c>
      <c r="V154" s="117">
        <f t="shared" si="24"/>
        <v>0</v>
      </c>
      <c r="AA154" s="20">
        <v>9.0</v>
      </c>
      <c r="AB154" s="63" t="s">
        <v>112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</row>
    <row r="155" ht="15.75" customHeight="1">
      <c r="A155" s="23"/>
      <c r="B155" s="11">
        <v>45959.0</v>
      </c>
      <c r="C155" s="64" t="s">
        <v>142</v>
      </c>
      <c r="D155" s="12" t="s">
        <v>22</v>
      </c>
      <c r="E155" s="14" t="s">
        <v>112</v>
      </c>
      <c r="F155" s="30"/>
      <c r="G155" s="30" t="s">
        <v>24</v>
      </c>
      <c r="H155" s="30"/>
      <c r="I155" s="14" t="s">
        <v>198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45</v>
      </c>
      <c r="P155" s="117">
        <f t="shared" si="19"/>
        <v>0</v>
      </c>
      <c r="Q155" s="119">
        <f t="shared" si="20"/>
        <v>0</v>
      </c>
      <c r="R155" s="120"/>
      <c r="S155" s="120">
        <f t="shared" si="21"/>
        <v>0</v>
      </c>
      <c r="T155" s="117">
        <f t="shared" si="22"/>
        <v>0</v>
      </c>
      <c r="U155" s="120">
        <f t="shared" si="23"/>
        <v>0</v>
      </c>
      <c r="V155" s="117">
        <f t="shared" si="24"/>
        <v>0</v>
      </c>
      <c r="AA155" s="20">
        <v>10.0</v>
      </c>
      <c r="AB155" s="63" t="s">
        <v>45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</row>
    <row r="156" ht="15.75" customHeight="1">
      <c r="A156" s="23"/>
      <c r="B156" s="11">
        <v>45959.0</v>
      </c>
      <c r="C156" s="64" t="s">
        <v>92</v>
      </c>
      <c r="D156" s="12" t="s">
        <v>22</v>
      </c>
      <c r="E156" s="14" t="s">
        <v>33</v>
      </c>
      <c r="F156" s="30"/>
      <c r="G156" s="30" t="s">
        <v>24</v>
      </c>
      <c r="H156" s="30"/>
      <c r="I156" s="14" t="s">
        <v>55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33</v>
      </c>
      <c r="P156" s="117">
        <f t="shared" si="19"/>
        <v>0</v>
      </c>
      <c r="Q156" s="119">
        <f t="shared" si="20"/>
        <v>0</v>
      </c>
      <c r="S156" s="120">
        <f t="shared" si="21"/>
        <v>0</v>
      </c>
      <c r="T156" s="117">
        <f t="shared" si="22"/>
        <v>0</v>
      </c>
      <c r="U156" s="120">
        <f t="shared" si="23"/>
        <v>0</v>
      </c>
      <c r="V156" s="117">
        <f t="shared" si="24"/>
        <v>0</v>
      </c>
      <c r="AA156" s="48">
        <v>11.0</v>
      </c>
      <c r="AB156" s="63" t="s">
        <v>33</v>
      </c>
      <c r="AC156" s="21">
        <v>0.0</v>
      </c>
      <c r="AD156" s="21">
        <v>0.0</v>
      </c>
      <c r="AE156" s="22"/>
      <c r="AF156" s="22">
        <v>0.0</v>
      </c>
      <c r="AG156" s="21">
        <v>0.0</v>
      </c>
      <c r="AH156" s="22">
        <v>0.0</v>
      </c>
      <c r="AI156" s="21">
        <v>0.0</v>
      </c>
    </row>
    <row r="157" ht="15.75" customHeight="1">
      <c r="A157" s="28"/>
      <c r="B157" s="11">
        <v>45959.0</v>
      </c>
      <c r="C157" s="64" t="s">
        <v>92</v>
      </c>
      <c r="D157" s="12" t="s">
        <v>22</v>
      </c>
      <c r="E157" s="14" t="s">
        <v>144</v>
      </c>
      <c r="F157" s="30"/>
      <c r="G157" s="30" t="s">
        <v>24</v>
      </c>
      <c r="H157" s="30"/>
      <c r="I157" s="14" t="s">
        <v>59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4"/>
      <c r="C158" s="125"/>
      <c r="D158" s="125"/>
      <c r="E158" s="14" t="s">
        <v>56</v>
      </c>
      <c r="F158" s="30"/>
      <c r="G158" s="30" t="s">
        <v>24</v>
      </c>
      <c r="H158" s="30"/>
      <c r="I158" s="14" t="s">
        <v>43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3"/>
      <c r="B159" s="124"/>
      <c r="C159" s="125"/>
      <c r="D159" s="125"/>
      <c r="E159" s="14" t="s">
        <v>122</v>
      </c>
      <c r="F159" s="30"/>
      <c r="G159" s="30" t="s">
        <v>24</v>
      </c>
      <c r="H159" s="30"/>
      <c r="I159" s="14" t="s">
        <v>62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</row>
    <row r="160" ht="15.75" customHeight="1">
      <c r="A160" s="23"/>
      <c r="B160" s="124"/>
      <c r="C160" s="125"/>
      <c r="D160" s="125"/>
      <c r="E160" s="14" t="s">
        <v>45</v>
      </c>
      <c r="F160" s="30"/>
      <c r="G160" s="30" t="s">
        <v>24</v>
      </c>
      <c r="H160" s="30"/>
      <c r="I160" s="14" t="s">
        <v>112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</row>
    <row r="161" ht="15.75" customHeight="1">
      <c r="A161" s="23"/>
      <c r="B161" s="124"/>
      <c r="C161" s="125"/>
      <c r="D161" s="125"/>
      <c r="E161" s="14" t="s">
        <v>198</v>
      </c>
      <c r="F161" s="30"/>
      <c r="G161" s="30" t="s">
        <v>24</v>
      </c>
      <c r="H161" s="30"/>
      <c r="I161" s="14" t="s">
        <v>33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</row>
    <row r="162" ht="15.75" customHeight="1">
      <c r="A162" s="23"/>
      <c r="B162" s="124"/>
      <c r="C162" s="125"/>
      <c r="D162" s="125"/>
      <c r="E162" s="14" t="s">
        <v>55</v>
      </c>
      <c r="F162" s="30"/>
      <c r="G162" s="30" t="s">
        <v>24</v>
      </c>
      <c r="H162" s="30"/>
      <c r="I162" s="14" t="s">
        <v>144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59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</row>
    <row r="164" ht="15.75" customHeight="1">
      <c r="A164" s="134">
        <v>4.0</v>
      </c>
      <c r="B164" s="124"/>
      <c r="C164" s="125"/>
      <c r="D164" s="125"/>
      <c r="E164" s="14" t="s">
        <v>43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</row>
    <row r="165" ht="15.75" customHeight="1">
      <c r="A165" s="23"/>
      <c r="B165" s="124"/>
      <c r="C165" s="125"/>
      <c r="D165" s="125"/>
      <c r="E165" s="14" t="s">
        <v>62</v>
      </c>
      <c r="F165" s="30"/>
      <c r="G165" s="30" t="s">
        <v>24</v>
      </c>
      <c r="H165" s="30"/>
      <c r="I165" s="14" t="s">
        <v>56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</row>
    <row r="166" ht="15.75" customHeight="1">
      <c r="A166" s="23"/>
      <c r="B166" s="124"/>
      <c r="C166" s="125"/>
      <c r="D166" s="125"/>
      <c r="E166" s="14" t="s">
        <v>112</v>
      </c>
      <c r="F166" s="30"/>
      <c r="G166" s="30" t="s">
        <v>24</v>
      </c>
      <c r="H166" s="30"/>
      <c r="I166" s="14" t="s">
        <v>122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</row>
    <row r="167" ht="15.75" customHeight="1">
      <c r="A167" s="23"/>
      <c r="B167" s="124"/>
      <c r="C167" s="125"/>
      <c r="D167" s="125"/>
      <c r="E167" s="14" t="s">
        <v>33</v>
      </c>
      <c r="F167" s="30"/>
      <c r="G167" s="30" t="s">
        <v>24</v>
      </c>
      <c r="H167" s="30"/>
      <c r="I167" s="14" t="s">
        <v>45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</row>
    <row r="168" ht="15.75" customHeight="1">
      <c r="A168" s="23"/>
      <c r="B168" s="124"/>
      <c r="C168" s="125"/>
      <c r="D168" s="125"/>
      <c r="E168" s="14" t="s">
        <v>144</v>
      </c>
      <c r="F168" s="30"/>
      <c r="G168" s="30" t="s">
        <v>24</v>
      </c>
      <c r="H168" s="30"/>
      <c r="I168" s="14" t="s">
        <v>198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</row>
    <row r="169" ht="15.75" customHeight="1">
      <c r="A169" s="23"/>
      <c r="B169" s="124"/>
      <c r="C169" s="125"/>
      <c r="D169" s="125"/>
      <c r="E169" s="14" t="s">
        <v>59</v>
      </c>
      <c r="F169" s="30"/>
      <c r="G169" s="30" t="s">
        <v>24</v>
      </c>
      <c r="H169" s="30"/>
      <c r="I169" s="14" t="s">
        <v>55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4"/>
      <c r="C170" s="125"/>
      <c r="D170" s="125"/>
      <c r="E170" s="14" t="s">
        <v>43</v>
      </c>
      <c r="F170" s="30"/>
      <c r="G170" s="30" t="s">
        <v>24</v>
      </c>
      <c r="H170" s="30"/>
      <c r="I170" s="14" t="s">
        <v>62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</row>
    <row r="171" ht="15.75" customHeight="1">
      <c r="A171" s="23"/>
      <c r="B171" s="124"/>
      <c r="C171" s="125"/>
      <c r="D171" s="125"/>
      <c r="E171" s="14" t="s">
        <v>56</v>
      </c>
      <c r="F171" s="125"/>
      <c r="G171" s="30" t="s">
        <v>24</v>
      </c>
      <c r="H171" s="30"/>
      <c r="I171" s="14" t="s">
        <v>112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</row>
    <row r="172" ht="15.75" customHeight="1">
      <c r="A172" s="23"/>
      <c r="B172" s="124"/>
      <c r="C172" s="125"/>
      <c r="D172" s="125"/>
      <c r="E172" s="14" t="s">
        <v>122</v>
      </c>
      <c r="F172" s="125"/>
      <c r="G172" s="30" t="s">
        <v>24</v>
      </c>
      <c r="H172" s="30"/>
      <c r="I172" s="14" t="s">
        <v>33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</row>
    <row r="173" ht="15.75" customHeight="1">
      <c r="A173" s="23"/>
      <c r="B173" s="124"/>
      <c r="C173" s="125"/>
      <c r="D173" s="125"/>
      <c r="E173" s="14" t="s">
        <v>45</v>
      </c>
      <c r="F173" s="125"/>
      <c r="G173" s="30" t="s">
        <v>24</v>
      </c>
      <c r="H173" s="30"/>
      <c r="I173" s="14" t="s">
        <v>144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</row>
    <row r="174" ht="15.75" customHeight="1">
      <c r="A174" s="23"/>
      <c r="B174" s="124"/>
      <c r="C174" s="125"/>
      <c r="D174" s="125"/>
      <c r="E174" s="14" t="s">
        <v>198</v>
      </c>
      <c r="F174" s="125"/>
      <c r="G174" s="30" t="s">
        <v>24</v>
      </c>
      <c r="H174" s="30"/>
      <c r="I174" s="14" t="s">
        <v>59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55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4"/>
      <c r="C176" s="129"/>
      <c r="D176" s="125"/>
      <c r="E176" s="14" t="s">
        <v>62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</row>
    <row r="177" ht="15.75" customHeight="1">
      <c r="A177" s="23"/>
      <c r="B177" s="124"/>
      <c r="C177" s="125"/>
      <c r="D177" s="125"/>
      <c r="E177" s="14" t="s">
        <v>112</v>
      </c>
      <c r="F177" s="30"/>
      <c r="G177" s="30" t="s">
        <v>24</v>
      </c>
      <c r="H177" s="30"/>
      <c r="I177" s="14" t="s">
        <v>43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</row>
    <row r="178" ht="15.75" customHeight="1">
      <c r="A178" s="23"/>
      <c r="B178" s="124"/>
      <c r="C178" s="125"/>
      <c r="D178" s="125"/>
      <c r="E178" s="14" t="s">
        <v>33</v>
      </c>
      <c r="F178" s="30"/>
      <c r="G178" s="30" t="s">
        <v>24</v>
      </c>
      <c r="H178" s="30"/>
      <c r="I178" s="14" t="s">
        <v>56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</row>
    <row r="179" ht="15.75" customHeight="1">
      <c r="A179" s="23"/>
      <c r="B179" s="124"/>
      <c r="C179" s="129"/>
      <c r="D179" s="125"/>
      <c r="E179" s="14" t="s">
        <v>144</v>
      </c>
      <c r="F179" s="30"/>
      <c r="G179" s="30" t="s">
        <v>24</v>
      </c>
      <c r="H179" s="30"/>
      <c r="I179" s="14" t="s">
        <v>122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</row>
    <row r="180" ht="15.75" customHeight="1">
      <c r="A180" s="23"/>
      <c r="B180" s="124"/>
      <c r="C180" s="125"/>
      <c r="D180" s="125"/>
      <c r="E180" s="14" t="s">
        <v>59</v>
      </c>
      <c r="F180" s="30"/>
      <c r="G180" s="30" t="s">
        <v>24</v>
      </c>
      <c r="H180" s="30"/>
      <c r="I180" s="14" t="s">
        <v>45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4"/>
      <c r="C181" s="125"/>
      <c r="D181" s="125"/>
      <c r="E181" s="14" t="s">
        <v>55</v>
      </c>
      <c r="F181" s="30"/>
      <c r="G181" s="30" t="s">
        <v>24</v>
      </c>
      <c r="H181" s="30"/>
      <c r="I181" s="14" t="s">
        <v>198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4"/>
      <c r="C182" s="129"/>
      <c r="D182" s="125"/>
      <c r="E182" s="14" t="s">
        <v>62</v>
      </c>
      <c r="F182" s="30"/>
      <c r="G182" s="30" t="s">
        <v>24</v>
      </c>
      <c r="H182" s="30"/>
      <c r="I182" s="14" t="s">
        <v>112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</row>
    <row r="183" ht="15.75" customHeight="1">
      <c r="A183" s="23"/>
      <c r="B183" s="124"/>
      <c r="C183" s="129"/>
      <c r="D183" s="125"/>
      <c r="E183" s="14" t="s">
        <v>43</v>
      </c>
      <c r="F183" s="30"/>
      <c r="G183" s="30" t="s">
        <v>24</v>
      </c>
      <c r="H183" s="30"/>
      <c r="I183" s="14" t="s">
        <v>33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</row>
    <row r="184" ht="15.75" customHeight="1">
      <c r="A184" s="23"/>
      <c r="B184" s="124"/>
      <c r="C184" s="129"/>
      <c r="D184" s="125"/>
      <c r="E184" s="14" t="s">
        <v>56</v>
      </c>
      <c r="F184" s="30"/>
      <c r="G184" s="30" t="s">
        <v>24</v>
      </c>
      <c r="H184" s="30"/>
      <c r="I184" s="14" t="s">
        <v>144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</row>
    <row r="185" ht="15.75" customHeight="1">
      <c r="A185" s="23"/>
      <c r="B185" s="124"/>
      <c r="C185" s="129"/>
      <c r="D185" s="125"/>
      <c r="E185" s="14" t="s">
        <v>122</v>
      </c>
      <c r="F185" s="30"/>
      <c r="G185" s="30" t="s">
        <v>24</v>
      </c>
      <c r="H185" s="30"/>
      <c r="I185" s="14" t="s">
        <v>59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</row>
    <row r="186" ht="15.75" customHeight="1">
      <c r="A186" s="23"/>
      <c r="B186" s="124"/>
      <c r="C186" s="125"/>
      <c r="D186" s="125"/>
      <c r="E186" s="14" t="s">
        <v>45</v>
      </c>
      <c r="F186" s="30"/>
      <c r="G186" s="30" t="s">
        <v>24</v>
      </c>
      <c r="H186" s="30"/>
      <c r="I186" s="14" t="s">
        <v>55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198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4"/>
      <c r="C188" s="129"/>
      <c r="D188" s="125"/>
      <c r="E188" s="14" t="s">
        <v>112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</row>
    <row r="189" ht="15.75" customHeight="1">
      <c r="A189" s="23"/>
      <c r="B189" s="124"/>
      <c r="C189" s="129"/>
      <c r="D189" s="125"/>
      <c r="E189" s="14" t="s">
        <v>33</v>
      </c>
      <c r="F189" s="30"/>
      <c r="G189" s="30" t="s">
        <v>24</v>
      </c>
      <c r="H189" s="30"/>
      <c r="I189" s="14" t="s">
        <v>62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</row>
    <row r="190" ht="15.75" customHeight="1">
      <c r="A190" s="23"/>
      <c r="B190" s="124"/>
      <c r="C190" s="129"/>
      <c r="D190" s="125"/>
      <c r="E190" s="14" t="s">
        <v>144</v>
      </c>
      <c r="F190" s="30"/>
      <c r="G190" s="30" t="s">
        <v>24</v>
      </c>
      <c r="H190" s="30"/>
      <c r="I190" s="14" t="s">
        <v>43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</row>
    <row r="191" ht="15.75" customHeight="1">
      <c r="A191" s="23"/>
      <c r="B191" s="124"/>
      <c r="C191" s="129"/>
      <c r="D191" s="125"/>
      <c r="E191" s="14" t="s">
        <v>59</v>
      </c>
      <c r="F191" s="30"/>
      <c r="G191" s="30" t="s">
        <v>24</v>
      </c>
      <c r="H191" s="30"/>
      <c r="I191" s="14" t="s">
        <v>56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</row>
    <row r="192" ht="15.75" customHeight="1">
      <c r="A192" s="23"/>
      <c r="B192" s="124"/>
      <c r="C192" s="125"/>
      <c r="D192" s="125"/>
      <c r="E192" s="14" t="s">
        <v>55</v>
      </c>
      <c r="F192" s="30"/>
      <c r="G192" s="30" t="s">
        <v>24</v>
      </c>
      <c r="H192" s="30"/>
      <c r="I192" s="14" t="s">
        <v>122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4"/>
      <c r="C193" s="125"/>
      <c r="D193" s="125"/>
      <c r="E193" s="14" t="s">
        <v>198</v>
      </c>
      <c r="F193" s="30"/>
      <c r="G193" s="30" t="s">
        <v>24</v>
      </c>
      <c r="H193" s="30"/>
      <c r="I193" s="14" t="s">
        <v>45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4"/>
      <c r="C194" s="129"/>
      <c r="D194" s="125"/>
      <c r="E194" s="14" t="s">
        <v>112</v>
      </c>
      <c r="F194" s="30"/>
      <c r="G194" s="30" t="s">
        <v>24</v>
      </c>
      <c r="H194" s="30"/>
      <c r="I194" s="14" t="s">
        <v>33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</row>
    <row r="195" ht="15.75" customHeight="1">
      <c r="A195" s="23"/>
      <c r="B195" s="124"/>
      <c r="C195" s="129"/>
      <c r="D195" s="125"/>
      <c r="E195" s="14" t="s">
        <v>62</v>
      </c>
      <c r="F195" s="30"/>
      <c r="G195" s="30" t="s">
        <v>24</v>
      </c>
      <c r="H195" s="30"/>
      <c r="I195" s="14" t="s">
        <v>144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</row>
    <row r="196" ht="15.75" customHeight="1">
      <c r="A196" s="23"/>
      <c r="B196" s="124"/>
      <c r="C196" s="129"/>
      <c r="D196" s="125"/>
      <c r="E196" s="14" t="s">
        <v>43</v>
      </c>
      <c r="F196" s="30"/>
      <c r="G196" s="30" t="s">
        <v>24</v>
      </c>
      <c r="H196" s="30"/>
      <c r="I196" s="14" t="s">
        <v>59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</row>
    <row r="197" ht="15.75" customHeight="1">
      <c r="A197" s="23"/>
      <c r="B197" s="124"/>
      <c r="C197" s="129"/>
      <c r="D197" s="125"/>
      <c r="E197" s="14" t="s">
        <v>56</v>
      </c>
      <c r="F197" s="30"/>
      <c r="G197" s="30" t="s">
        <v>24</v>
      </c>
      <c r="H197" s="30"/>
      <c r="I197" s="14" t="s">
        <v>55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</row>
    <row r="198" ht="15.75" customHeight="1">
      <c r="A198" s="23"/>
      <c r="B198" s="124"/>
      <c r="C198" s="125"/>
      <c r="D198" s="125"/>
      <c r="E198" s="14" t="s">
        <v>122</v>
      </c>
      <c r="F198" s="30"/>
      <c r="G198" s="30" t="s">
        <v>24</v>
      </c>
      <c r="H198" s="30"/>
      <c r="I198" s="14" t="s">
        <v>198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45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33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</row>
    <row r="201" ht="15.75" customHeight="1">
      <c r="A201" s="23"/>
      <c r="B201" s="124"/>
      <c r="C201" s="129"/>
      <c r="D201" s="125"/>
      <c r="E201" s="14" t="s">
        <v>144</v>
      </c>
      <c r="F201" s="30"/>
      <c r="G201" s="30" t="s">
        <v>24</v>
      </c>
      <c r="H201" s="30"/>
      <c r="I201" s="14" t="s">
        <v>112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</row>
    <row r="202" ht="15.75" customHeight="1">
      <c r="A202" s="23"/>
      <c r="B202" s="124"/>
      <c r="C202" s="129"/>
      <c r="D202" s="125"/>
      <c r="E202" s="14" t="s">
        <v>59</v>
      </c>
      <c r="F202" s="30"/>
      <c r="G202" s="30" t="s">
        <v>24</v>
      </c>
      <c r="H202" s="30"/>
      <c r="I202" s="14" t="s">
        <v>62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</row>
    <row r="203" ht="15.75" customHeight="1">
      <c r="A203" s="23"/>
      <c r="B203" s="124"/>
      <c r="C203" s="129"/>
      <c r="D203" s="125"/>
      <c r="E203" s="14" t="s">
        <v>55</v>
      </c>
      <c r="F203" s="30"/>
      <c r="G203" s="30" t="s">
        <v>24</v>
      </c>
      <c r="H203" s="30"/>
      <c r="I203" s="14" t="s">
        <v>43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</row>
    <row r="204" ht="15.75" customHeight="1">
      <c r="A204" s="23"/>
      <c r="B204" s="124"/>
      <c r="C204" s="125"/>
      <c r="D204" s="125"/>
      <c r="E204" s="14" t="s">
        <v>198</v>
      </c>
      <c r="F204" s="30"/>
      <c r="G204" s="30" t="s">
        <v>24</v>
      </c>
      <c r="H204" s="30"/>
      <c r="I204" s="14" t="s">
        <v>56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4"/>
      <c r="C205" s="125"/>
      <c r="D205" s="125"/>
      <c r="E205" s="14" t="s">
        <v>45</v>
      </c>
      <c r="F205" s="30"/>
      <c r="G205" s="30" t="s">
        <v>24</v>
      </c>
      <c r="H205" s="30"/>
      <c r="I205" s="14" t="s">
        <v>122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4"/>
      <c r="C206" s="129"/>
      <c r="D206" s="125"/>
      <c r="E206" s="14" t="s">
        <v>33</v>
      </c>
      <c r="F206" s="13"/>
      <c r="G206" s="30" t="s">
        <v>24</v>
      </c>
      <c r="H206" s="13"/>
      <c r="I206" s="14" t="s">
        <v>144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</row>
    <row r="207" ht="15.75" customHeight="1">
      <c r="A207" s="23"/>
      <c r="B207" s="124"/>
      <c r="C207" s="129"/>
      <c r="D207" s="125"/>
      <c r="E207" s="14" t="s">
        <v>112</v>
      </c>
      <c r="F207" s="30"/>
      <c r="G207" s="30" t="s">
        <v>24</v>
      </c>
      <c r="H207" s="30"/>
      <c r="I207" s="14" t="s">
        <v>59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</row>
    <row r="208" ht="15.75" customHeight="1">
      <c r="A208" s="23"/>
      <c r="B208" s="124"/>
      <c r="C208" s="129"/>
      <c r="D208" s="125"/>
      <c r="E208" s="14" t="s">
        <v>62</v>
      </c>
      <c r="F208" s="30"/>
      <c r="G208" s="30" t="s">
        <v>24</v>
      </c>
      <c r="H208" s="30"/>
      <c r="I208" s="14" t="s">
        <v>55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</row>
    <row r="209" ht="15.75" customHeight="1">
      <c r="A209" s="23"/>
      <c r="B209" s="124"/>
      <c r="C209" s="129"/>
      <c r="D209" s="125"/>
      <c r="E209" s="14" t="s">
        <v>43</v>
      </c>
      <c r="F209" s="30"/>
      <c r="G209" s="30" t="s">
        <v>24</v>
      </c>
      <c r="H209" s="30"/>
      <c r="I209" s="14" t="s">
        <v>198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</row>
    <row r="210" ht="15.75" customHeight="1">
      <c r="A210" s="23"/>
      <c r="B210" s="124"/>
      <c r="C210" s="125"/>
      <c r="D210" s="125"/>
      <c r="E210" s="14" t="s">
        <v>56</v>
      </c>
      <c r="F210" s="13"/>
      <c r="G210" s="30" t="s">
        <v>24</v>
      </c>
      <c r="H210" s="13"/>
      <c r="I210" s="14" t="s">
        <v>45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4"/>
      <c r="C211" s="125"/>
      <c r="D211" s="125"/>
      <c r="E211" s="14" t="s">
        <v>122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39" t="s">
        <v>203</v>
      </c>
      <c r="I1" s="114"/>
      <c r="AA1" s="3"/>
      <c r="AB1" s="114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45943.0</v>
      </c>
      <c r="C3" s="12" t="s">
        <v>30</v>
      </c>
      <c r="D3" s="12" t="s">
        <v>22</v>
      </c>
      <c r="E3" s="14" t="s">
        <v>33</v>
      </c>
      <c r="F3" s="30"/>
      <c r="G3" s="30" t="s">
        <v>24</v>
      </c>
      <c r="H3" s="30"/>
      <c r="I3" s="14" t="s">
        <v>97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33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Eng. Mecânica</v>
      </c>
      <c r="AC3" s="21">
        <v>0.0</v>
      </c>
      <c r="AD3" s="21">
        <v>0.0</v>
      </c>
      <c r="AE3" s="21"/>
      <c r="AF3" s="22">
        <v>0.0</v>
      </c>
      <c r="AG3" s="21">
        <v>0.0</v>
      </c>
      <c r="AH3" s="22">
        <v>0.0</v>
      </c>
      <c r="AI3" s="21">
        <v>0.0</v>
      </c>
      <c r="AJ3" s="16"/>
    </row>
    <row r="4" ht="15.75" customHeight="1">
      <c r="A4" s="23"/>
      <c r="B4" s="11">
        <v>45943.0</v>
      </c>
      <c r="C4" s="12" t="s">
        <v>30</v>
      </c>
      <c r="D4" s="12" t="s">
        <v>22</v>
      </c>
      <c r="E4" s="14" t="s">
        <v>63</v>
      </c>
      <c r="F4" s="30"/>
      <c r="G4" s="30" t="s">
        <v>24</v>
      </c>
      <c r="H4" s="30"/>
      <c r="I4" s="14" t="s">
        <v>36</v>
      </c>
      <c r="J4" s="115"/>
      <c r="K4" s="116" t="str">
        <f t="shared" si="1"/>
        <v/>
      </c>
      <c r="L4" s="117" t="str">
        <f t="shared" si="2"/>
        <v/>
      </c>
      <c r="M4" s="115"/>
      <c r="N4" s="117">
        <v>2.0</v>
      </c>
      <c r="O4" s="118" t="s">
        <v>113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113</v>
      </c>
      <c r="AC4" s="21">
        <v>0.0</v>
      </c>
      <c r="AD4" s="21">
        <v>0.0</v>
      </c>
      <c r="AE4" s="21"/>
      <c r="AF4" s="22">
        <v>0.0</v>
      </c>
      <c r="AG4" s="21">
        <v>0.0</v>
      </c>
      <c r="AH4" s="22">
        <v>0.0</v>
      </c>
      <c r="AI4" s="21">
        <v>0.0</v>
      </c>
      <c r="AJ4" s="16"/>
    </row>
    <row r="5" ht="15.75" customHeight="1">
      <c r="A5" s="23"/>
      <c r="B5" s="11">
        <v>45943.0</v>
      </c>
      <c r="C5" s="12" t="s">
        <v>30</v>
      </c>
      <c r="D5" s="12" t="s">
        <v>22</v>
      </c>
      <c r="E5" s="14" t="s">
        <v>42</v>
      </c>
      <c r="F5" s="13"/>
      <c r="G5" s="30" t="s">
        <v>24</v>
      </c>
      <c r="H5" s="13"/>
      <c r="I5" s="14" t="s">
        <v>61</v>
      </c>
      <c r="J5" s="115"/>
      <c r="K5" s="116" t="str">
        <f t="shared" si="1"/>
        <v/>
      </c>
      <c r="L5" s="117" t="str">
        <f t="shared" si="2"/>
        <v/>
      </c>
      <c r="M5" s="115"/>
      <c r="N5" s="117">
        <v>3.0</v>
      </c>
      <c r="O5" s="118" t="s">
        <v>97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97</v>
      </c>
      <c r="AC5" s="21">
        <v>0.0</v>
      </c>
      <c r="AD5" s="21">
        <v>0.0</v>
      </c>
      <c r="AE5" s="21"/>
      <c r="AF5" s="22">
        <v>0.0</v>
      </c>
      <c r="AG5" s="21">
        <v>0.0</v>
      </c>
      <c r="AH5" s="22">
        <v>0.0</v>
      </c>
      <c r="AI5" s="21">
        <v>0.0</v>
      </c>
      <c r="AJ5" s="16"/>
    </row>
    <row r="6" ht="15.75" customHeight="1">
      <c r="A6" s="23"/>
      <c r="B6" s="11">
        <v>45943.0</v>
      </c>
      <c r="C6" s="12" t="s">
        <v>35</v>
      </c>
      <c r="D6" s="12" t="s">
        <v>22</v>
      </c>
      <c r="E6" s="14" t="s">
        <v>25</v>
      </c>
      <c r="F6" s="30"/>
      <c r="G6" s="30" t="s">
        <v>24</v>
      </c>
      <c r="H6" s="30"/>
      <c r="I6" s="14" t="s">
        <v>39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118</v>
      </c>
      <c r="P6" s="117">
        <f t="shared" si="3"/>
        <v>0</v>
      </c>
      <c r="Q6" s="119">
        <f t="shared" si="4"/>
        <v>0</v>
      </c>
      <c r="R6" s="119"/>
      <c r="S6" s="120">
        <f t="shared" si="5"/>
        <v>0</v>
      </c>
      <c r="T6" s="117">
        <f t="shared" si="6"/>
        <v>0</v>
      </c>
      <c r="U6" s="120">
        <f t="shared" si="7"/>
        <v>0</v>
      </c>
      <c r="V6" s="117">
        <f t="shared" si="8"/>
        <v>0</v>
      </c>
      <c r="AA6" s="20" t="s">
        <v>41</v>
      </c>
      <c r="AB6" s="63" t="s">
        <v>118</v>
      </c>
      <c r="AC6" s="21">
        <v>0.0</v>
      </c>
      <c r="AD6" s="21">
        <v>0.0</v>
      </c>
      <c r="AE6" s="21"/>
      <c r="AF6" s="22">
        <v>0.0</v>
      </c>
      <c r="AG6" s="21">
        <v>0.0</v>
      </c>
      <c r="AH6" s="22">
        <v>0.0</v>
      </c>
      <c r="AI6" s="21">
        <v>0.0</v>
      </c>
      <c r="AJ6" s="16"/>
    </row>
    <row r="7" ht="15.75" customHeight="1">
      <c r="A7" s="23"/>
      <c r="B7" s="11">
        <v>45943.0</v>
      </c>
      <c r="C7" s="12" t="s">
        <v>35</v>
      </c>
      <c r="D7" s="12" t="s">
        <v>22</v>
      </c>
      <c r="E7" s="14" t="s">
        <v>118</v>
      </c>
      <c r="F7" s="13"/>
      <c r="G7" s="30" t="s">
        <v>24</v>
      </c>
      <c r="H7" s="13"/>
      <c r="I7" s="14" t="s">
        <v>112</v>
      </c>
      <c r="J7" s="115"/>
      <c r="K7" s="116" t="str">
        <f t="shared" si="1"/>
        <v/>
      </c>
      <c r="L7" s="117" t="str">
        <f t="shared" si="2"/>
        <v/>
      </c>
      <c r="M7" s="115"/>
      <c r="N7" s="117">
        <v>5.0</v>
      </c>
      <c r="O7" s="118" t="s">
        <v>36</v>
      </c>
      <c r="P7" s="117">
        <f t="shared" si="3"/>
        <v>0</v>
      </c>
      <c r="Q7" s="119">
        <f t="shared" si="4"/>
        <v>0</v>
      </c>
      <c r="R7" s="119"/>
      <c r="S7" s="120">
        <f t="shared" si="5"/>
        <v>0</v>
      </c>
      <c r="T7" s="117">
        <f t="shared" si="6"/>
        <v>0</v>
      </c>
      <c r="U7" s="120">
        <f t="shared" si="7"/>
        <v>0</v>
      </c>
      <c r="V7" s="117">
        <f t="shared" si="8"/>
        <v>0</v>
      </c>
      <c r="AA7" s="20" t="s">
        <v>44</v>
      </c>
      <c r="AB7" s="63" t="s">
        <v>36</v>
      </c>
      <c r="AC7" s="21">
        <v>0.0</v>
      </c>
      <c r="AD7" s="21">
        <v>0.0</v>
      </c>
      <c r="AE7" s="21"/>
      <c r="AF7" s="22">
        <v>0.0</v>
      </c>
      <c r="AG7" s="21">
        <v>0.0</v>
      </c>
      <c r="AH7" s="22">
        <v>0.0</v>
      </c>
      <c r="AI7" s="21">
        <v>0.0</v>
      </c>
      <c r="AJ7" s="16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116</v>
      </c>
      <c r="F8" s="30"/>
      <c r="G8" s="30" t="s">
        <v>24</v>
      </c>
      <c r="H8" s="30"/>
      <c r="I8" s="14" t="s">
        <v>113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25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25</v>
      </c>
      <c r="AC8" s="21">
        <v>0.0</v>
      </c>
      <c r="AD8" s="21">
        <v>0.0</v>
      </c>
      <c r="AE8" s="21"/>
      <c r="AF8" s="22">
        <v>0.0</v>
      </c>
      <c r="AG8" s="21">
        <v>0.0</v>
      </c>
      <c r="AH8" s="22">
        <v>0.0</v>
      </c>
      <c r="AI8" s="21">
        <v>0.0</v>
      </c>
      <c r="AJ8" s="16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97</v>
      </c>
      <c r="F9" s="30"/>
      <c r="G9" s="30" t="s">
        <v>24</v>
      </c>
      <c r="H9" s="30"/>
      <c r="I9" s="14" t="s">
        <v>116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61</v>
      </c>
      <c r="P9" s="117">
        <f t="shared" si="3"/>
        <v>0</v>
      </c>
      <c r="Q9" s="119">
        <f t="shared" si="4"/>
        <v>0</v>
      </c>
      <c r="R9" s="119"/>
      <c r="S9" s="120">
        <f t="shared" si="5"/>
        <v>0</v>
      </c>
      <c r="T9" s="117">
        <f t="shared" si="6"/>
        <v>0</v>
      </c>
      <c r="U9" s="120">
        <f t="shared" si="7"/>
        <v>0</v>
      </c>
      <c r="V9" s="117">
        <f t="shared" si="8"/>
        <v>0</v>
      </c>
      <c r="AA9" s="20">
        <v>7.0</v>
      </c>
      <c r="AB9" s="63" t="s">
        <v>61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  <c r="AJ9" s="16"/>
    </row>
    <row r="10" ht="15.75" customHeight="1">
      <c r="A10" s="23"/>
      <c r="B10" s="11">
        <v>45959.0</v>
      </c>
      <c r="C10" s="12" t="s">
        <v>92</v>
      </c>
      <c r="D10" s="12" t="s">
        <v>22</v>
      </c>
      <c r="E10" s="14" t="s">
        <v>36</v>
      </c>
      <c r="F10" s="30"/>
      <c r="G10" s="30" t="s">
        <v>24</v>
      </c>
      <c r="H10" s="30"/>
      <c r="I10" s="14" t="s">
        <v>33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42</v>
      </c>
      <c r="P10" s="117">
        <f t="shared" si="3"/>
        <v>0</v>
      </c>
      <c r="Q10" s="119">
        <f t="shared" si="4"/>
        <v>0</v>
      </c>
      <c r="R10" s="119"/>
      <c r="S10" s="120">
        <f t="shared" si="5"/>
        <v>0</v>
      </c>
      <c r="T10" s="117">
        <f t="shared" si="6"/>
        <v>0</v>
      </c>
      <c r="U10" s="120">
        <f t="shared" si="7"/>
        <v>0</v>
      </c>
      <c r="V10" s="117">
        <f t="shared" si="8"/>
        <v>0</v>
      </c>
      <c r="AA10" s="20">
        <v>8.0</v>
      </c>
      <c r="AB10" s="63" t="s">
        <v>42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  <c r="AJ10" s="16"/>
    </row>
    <row r="11" ht="15.75" customHeight="1">
      <c r="A11" s="23"/>
      <c r="B11" s="11">
        <v>45959.0</v>
      </c>
      <c r="C11" s="12" t="s">
        <v>96</v>
      </c>
      <c r="D11" s="12" t="s">
        <v>22</v>
      </c>
      <c r="E11" s="14" t="s">
        <v>61</v>
      </c>
      <c r="F11" s="30"/>
      <c r="G11" s="30" t="s">
        <v>24</v>
      </c>
      <c r="H11" s="30"/>
      <c r="I11" s="14" t="s">
        <v>63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39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0</v>
      </c>
      <c r="T11" s="117">
        <f t="shared" si="6"/>
        <v>0</v>
      </c>
      <c r="U11" s="120">
        <f t="shared" si="7"/>
        <v>0</v>
      </c>
      <c r="V11" s="117">
        <f t="shared" si="8"/>
        <v>0</v>
      </c>
      <c r="AA11" s="95" t="s">
        <v>103</v>
      </c>
      <c r="AB11" s="63" t="s">
        <v>39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  <c r="AJ11" s="16"/>
    </row>
    <row r="12" ht="15.75" customHeight="1">
      <c r="A12" s="23"/>
      <c r="B12" s="11">
        <v>45959.0</v>
      </c>
      <c r="C12" s="12" t="s">
        <v>96</v>
      </c>
      <c r="D12" s="12" t="s">
        <v>22</v>
      </c>
      <c r="E12" s="14" t="s">
        <v>39</v>
      </c>
      <c r="F12" s="30"/>
      <c r="G12" s="30" t="s">
        <v>24</v>
      </c>
      <c r="H12" s="30"/>
      <c r="I12" s="14" t="s">
        <v>42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63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0</v>
      </c>
      <c r="T12" s="117">
        <f t="shared" si="6"/>
        <v>0</v>
      </c>
      <c r="U12" s="120">
        <f t="shared" si="7"/>
        <v>0</v>
      </c>
      <c r="V12" s="117">
        <f t="shared" si="8"/>
        <v>0</v>
      </c>
      <c r="AA12" s="69">
        <v>10.0</v>
      </c>
      <c r="AB12" s="63" t="s">
        <v>63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  <c r="AJ12" s="16"/>
    </row>
    <row r="13" ht="15.75" customHeight="1">
      <c r="A13" s="23"/>
      <c r="B13" s="11">
        <v>45959.0</v>
      </c>
      <c r="C13" s="12" t="s">
        <v>96</v>
      </c>
      <c r="D13" s="12" t="s">
        <v>22</v>
      </c>
      <c r="E13" s="14" t="s">
        <v>112</v>
      </c>
      <c r="F13" s="30"/>
      <c r="G13" s="30" t="s">
        <v>24</v>
      </c>
      <c r="H13" s="30"/>
      <c r="I13" s="14" t="s">
        <v>25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112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0</v>
      </c>
      <c r="T13" s="117">
        <f t="shared" si="6"/>
        <v>0</v>
      </c>
      <c r="U13" s="120">
        <f t="shared" si="7"/>
        <v>0</v>
      </c>
      <c r="V13" s="117">
        <f t="shared" si="8"/>
        <v>0</v>
      </c>
      <c r="AA13" s="69">
        <v>11.0</v>
      </c>
      <c r="AB13" s="63" t="s">
        <v>112</v>
      </c>
      <c r="AC13" s="21">
        <v>0.0</v>
      </c>
      <c r="AD13" s="21">
        <v>0.0</v>
      </c>
      <c r="AE13" s="21"/>
      <c r="AF13" s="22">
        <v>0.0</v>
      </c>
      <c r="AG13" s="21">
        <v>0.0</v>
      </c>
      <c r="AH13" s="22">
        <v>0.0</v>
      </c>
      <c r="AI13" s="21">
        <v>0.0</v>
      </c>
      <c r="AJ13" s="16"/>
    </row>
    <row r="14" ht="15.75" customHeight="1">
      <c r="A14" s="28"/>
      <c r="B14" s="11">
        <v>45959.0</v>
      </c>
      <c r="C14" s="12" t="s">
        <v>100</v>
      </c>
      <c r="D14" s="12" t="s">
        <v>22</v>
      </c>
      <c r="E14" s="14" t="s">
        <v>113</v>
      </c>
      <c r="F14" s="30"/>
      <c r="G14" s="30" t="s">
        <v>24</v>
      </c>
      <c r="H14" s="30"/>
      <c r="I14" s="14" t="s">
        <v>118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116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116</v>
      </c>
      <c r="AC14" s="21">
        <v>0.0</v>
      </c>
      <c r="AD14" s="26">
        <v>0.0</v>
      </c>
      <c r="AE14" s="26"/>
      <c r="AF14" s="26">
        <v>0.0</v>
      </c>
      <c r="AG14" s="26">
        <v>0.0</v>
      </c>
      <c r="AH14" s="26">
        <v>0.0</v>
      </c>
      <c r="AI14" s="26">
        <v>0.0</v>
      </c>
      <c r="AJ14" s="3"/>
    </row>
    <row r="15" ht="15.75" customHeight="1">
      <c r="A15" s="10">
        <v>3.0</v>
      </c>
      <c r="B15" s="11">
        <v>45959.0</v>
      </c>
      <c r="C15" s="12" t="s">
        <v>100</v>
      </c>
      <c r="D15" s="12" t="s">
        <v>22</v>
      </c>
      <c r="E15" s="14" t="s">
        <v>97</v>
      </c>
      <c r="F15" s="30"/>
      <c r="G15" s="30" t="s">
        <v>24</v>
      </c>
      <c r="H15" s="30"/>
      <c r="I15" s="14" t="s">
        <v>36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3"/>
      <c r="B16" s="11">
        <v>45959.0</v>
      </c>
      <c r="C16" s="12" t="s">
        <v>100</v>
      </c>
      <c r="D16" s="12" t="s">
        <v>22</v>
      </c>
      <c r="E16" s="14" t="s">
        <v>33</v>
      </c>
      <c r="F16" s="30"/>
      <c r="G16" s="30" t="s">
        <v>24</v>
      </c>
      <c r="H16" s="30"/>
      <c r="I16" s="14" t="s">
        <v>61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  <c r="AJ16" s="3"/>
    </row>
    <row r="17" ht="15.75" customHeight="1">
      <c r="A17" s="23"/>
      <c r="B17" s="11">
        <v>45959.0</v>
      </c>
      <c r="C17" s="12" t="s">
        <v>104</v>
      </c>
      <c r="D17" s="12" t="s">
        <v>22</v>
      </c>
      <c r="E17" s="14" t="s">
        <v>63</v>
      </c>
      <c r="F17" s="30"/>
      <c r="G17" s="30" t="s">
        <v>24</v>
      </c>
      <c r="H17" s="30"/>
      <c r="I17" s="14" t="s">
        <v>39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  <c r="AJ17" s="3"/>
    </row>
    <row r="18" ht="15.75" customHeight="1">
      <c r="A18" s="23"/>
      <c r="B18" s="11">
        <v>45959.0</v>
      </c>
      <c r="C18" s="12" t="s">
        <v>104</v>
      </c>
      <c r="D18" s="12" t="s">
        <v>22</v>
      </c>
      <c r="E18" s="14" t="s">
        <v>42</v>
      </c>
      <c r="F18" s="30"/>
      <c r="G18" s="30" t="s">
        <v>24</v>
      </c>
      <c r="H18" s="30"/>
      <c r="I18" s="14" t="s">
        <v>112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  <c r="AJ18" s="3"/>
    </row>
    <row r="19" ht="15.75" customHeight="1">
      <c r="A19" s="23"/>
      <c r="B19" s="11">
        <v>45959.0</v>
      </c>
      <c r="C19" s="12" t="s">
        <v>104</v>
      </c>
      <c r="D19" s="12" t="s">
        <v>22</v>
      </c>
      <c r="E19" s="14" t="s">
        <v>25</v>
      </c>
      <c r="F19" s="30"/>
      <c r="G19" s="30" t="s">
        <v>24</v>
      </c>
      <c r="H19" s="30"/>
      <c r="I19" s="14" t="s">
        <v>113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  <c r="AJ19" s="3"/>
    </row>
    <row r="20" ht="15.75" customHeight="1">
      <c r="A20" s="28"/>
      <c r="B20" s="124"/>
      <c r="C20" s="125"/>
      <c r="D20" s="125"/>
      <c r="E20" s="14" t="s">
        <v>116</v>
      </c>
      <c r="F20" s="30"/>
      <c r="G20" s="30" t="s">
        <v>24</v>
      </c>
      <c r="H20" s="30"/>
      <c r="I20" s="14" t="s">
        <v>118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  <c r="AJ20" s="3"/>
    </row>
    <row r="21" ht="15.75" customHeight="1">
      <c r="A21" s="10">
        <v>4.0</v>
      </c>
      <c r="B21" s="128"/>
      <c r="C21" s="125"/>
      <c r="D21" s="125"/>
      <c r="E21" s="14" t="s">
        <v>36</v>
      </c>
      <c r="F21" s="30"/>
      <c r="G21" s="30" t="s">
        <v>24</v>
      </c>
      <c r="H21" s="30"/>
      <c r="I21" s="14" t="s">
        <v>116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  <c r="AJ21" s="3"/>
    </row>
    <row r="22" ht="15.75" customHeight="1">
      <c r="A22" s="23"/>
      <c r="B22" s="124"/>
      <c r="C22" s="125"/>
      <c r="D22" s="125"/>
      <c r="E22" s="14" t="s">
        <v>61</v>
      </c>
      <c r="F22" s="30"/>
      <c r="G22" s="30" t="s">
        <v>24</v>
      </c>
      <c r="H22" s="30"/>
      <c r="I22" s="14" t="s">
        <v>97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  <c r="AJ22" s="3"/>
    </row>
    <row r="23" ht="15.75" customHeight="1">
      <c r="A23" s="23"/>
      <c r="B23" s="124"/>
      <c r="C23" s="125"/>
      <c r="D23" s="125"/>
      <c r="E23" s="14" t="s">
        <v>39</v>
      </c>
      <c r="F23" s="30"/>
      <c r="G23" s="30" t="s">
        <v>24</v>
      </c>
      <c r="H23" s="30"/>
      <c r="I23" s="14" t="s">
        <v>33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  <c r="AJ23" s="3"/>
    </row>
    <row r="24" ht="15.75" customHeight="1">
      <c r="A24" s="23"/>
      <c r="B24" s="124"/>
      <c r="C24" s="125"/>
      <c r="D24" s="125"/>
      <c r="E24" s="14" t="s">
        <v>112</v>
      </c>
      <c r="F24" s="30"/>
      <c r="G24" s="30" t="s">
        <v>24</v>
      </c>
      <c r="H24" s="30"/>
      <c r="I24" s="14" t="s">
        <v>63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  <c r="AJ24" s="3"/>
    </row>
    <row r="25" ht="15.75" customHeight="1">
      <c r="A25" s="23"/>
      <c r="B25" s="124"/>
      <c r="C25" s="125"/>
      <c r="D25" s="125"/>
      <c r="E25" s="14" t="s">
        <v>113</v>
      </c>
      <c r="F25" s="30"/>
      <c r="G25" s="30" t="s">
        <v>24</v>
      </c>
      <c r="H25" s="30"/>
      <c r="I25" s="14" t="s">
        <v>42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4"/>
      <c r="C26" s="125"/>
      <c r="D26" s="125"/>
      <c r="E26" s="14" t="s">
        <v>118</v>
      </c>
      <c r="F26" s="30"/>
      <c r="G26" s="30" t="s">
        <v>24</v>
      </c>
      <c r="H26" s="30"/>
      <c r="I26" s="14" t="s">
        <v>25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4"/>
      <c r="C27" s="125"/>
      <c r="D27" s="125"/>
      <c r="E27" s="14" t="s">
        <v>36</v>
      </c>
      <c r="F27" s="30"/>
      <c r="G27" s="30" t="s">
        <v>24</v>
      </c>
      <c r="H27" s="30"/>
      <c r="I27" s="14" t="s">
        <v>61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3"/>
      <c r="B28" s="124"/>
      <c r="C28" s="125"/>
      <c r="D28" s="125"/>
      <c r="E28" s="14" t="s">
        <v>97</v>
      </c>
      <c r="F28" s="30"/>
      <c r="G28" s="30" t="s">
        <v>24</v>
      </c>
      <c r="H28" s="30"/>
      <c r="I28" s="14" t="s">
        <v>39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3"/>
      <c r="B29" s="124"/>
      <c r="C29" s="125"/>
      <c r="D29" s="125"/>
      <c r="E29" s="14" t="s">
        <v>33</v>
      </c>
      <c r="F29" s="30"/>
      <c r="G29" s="30" t="s">
        <v>24</v>
      </c>
      <c r="H29" s="30"/>
      <c r="I29" s="14" t="s">
        <v>112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3"/>
      <c r="B30" s="124"/>
      <c r="C30" s="125"/>
      <c r="D30" s="125"/>
      <c r="E30" s="14" t="s">
        <v>63</v>
      </c>
      <c r="F30" s="30"/>
      <c r="G30" s="30" t="s">
        <v>24</v>
      </c>
      <c r="H30" s="30"/>
      <c r="I30" s="14" t="s">
        <v>113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3"/>
      <c r="B31" s="124"/>
      <c r="C31" s="125"/>
      <c r="D31" s="125"/>
      <c r="E31" s="14" t="s">
        <v>42</v>
      </c>
      <c r="F31" s="30"/>
      <c r="G31" s="30" t="s">
        <v>24</v>
      </c>
      <c r="H31" s="30"/>
      <c r="I31" s="14" t="s">
        <v>118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4"/>
      <c r="C32" s="125"/>
      <c r="D32" s="125"/>
      <c r="E32" s="14" t="s">
        <v>116</v>
      </c>
      <c r="F32" s="30"/>
      <c r="G32" s="30" t="s">
        <v>24</v>
      </c>
      <c r="H32" s="30"/>
      <c r="I32" s="14" t="s">
        <v>25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4"/>
      <c r="C33" s="129"/>
      <c r="D33" s="125"/>
      <c r="E33" s="14" t="s">
        <v>61</v>
      </c>
      <c r="F33" s="30"/>
      <c r="G33" s="30" t="s">
        <v>24</v>
      </c>
      <c r="H33" s="30"/>
      <c r="I33" s="14" t="s">
        <v>116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3"/>
      <c r="B34" s="124"/>
      <c r="C34" s="129"/>
      <c r="D34" s="125"/>
      <c r="E34" s="14" t="s">
        <v>39</v>
      </c>
      <c r="F34" s="30"/>
      <c r="G34" s="30" t="s">
        <v>24</v>
      </c>
      <c r="H34" s="30"/>
      <c r="I34" s="14" t="s">
        <v>36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3"/>
      <c r="B35" s="124"/>
      <c r="C35" s="129"/>
      <c r="D35" s="125"/>
      <c r="E35" s="14" t="s">
        <v>112</v>
      </c>
      <c r="F35" s="30"/>
      <c r="G35" s="30" t="s">
        <v>24</v>
      </c>
      <c r="H35" s="30"/>
      <c r="I35" s="14" t="s">
        <v>97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3"/>
      <c r="B36" s="124"/>
      <c r="C36" s="129"/>
      <c r="D36" s="125"/>
      <c r="E36" s="14" t="s">
        <v>113</v>
      </c>
      <c r="F36" s="30"/>
      <c r="G36" s="30" t="s">
        <v>24</v>
      </c>
      <c r="H36" s="30"/>
      <c r="I36" s="14" t="s">
        <v>33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3"/>
      <c r="B37" s="124"/>
      <c r="C37" s="129"/>
      <c r="D37" s="125"/>
      <c r="E37" s="14" t="s">
        <v>118</v>
      </c>
      <c r="F37" s="30"/>
      <c r="G37" s="30" t="s">
        <v>24</v>
      </c>
      <c r="H37" s="30"/>
      <c r="I37" s="14" t="s">
        <v>63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4"/>
      <c r="C38" s="129"/>
      <c r="D38" s="125"/>
      <c r="E38" s="14" t="s">
        <v>25</v>
      </c>
      <c r="F38" s="30"/>
      <c r="G38" s="30" t="s">
        <v>24</v>
      </c>
      <c r="H38" s="30"/>
      <c r="I38" s="14" t="s">
        <v>42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4"/>
      <c r="C39" s="125"/>
      <c r="D39" s="125"/>
      <c r="E39" s="14" t="s">
        <v>61</v>
      </c>
      <c r="F39" s="30"/>
      <c r="G39" s="30" t="s">
        <v>24</v>
      </c>
      <c r="H39" s="30"/>
      <c r="I39" s="14" t="s">
        <v>39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3"/>
      <c r="B40" s="124"/>
      <c r="C40" s="125"/>
      <c r="D40" s="125"/>
      <c r="E40" s="14" t="s">
        <v>36</v>
      </c>
      <c r="F40" s="30"/>
      <c r="G40" s="30" t="s">
        <v>24</v>
      </c>
      <c r="H40" s="30"/>
      <c r="I40" s="14" t="s">
        <v>112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3"/>
      <c r="B41" s="124"/>
      <c r="C41" s="125"/>
      <c r="D41" s="130"/>
      <c r="E41" s="40" t="s">
        <v>97</v>
      </c>
      <c r="F41" s="30"/>
      <c r="G41" s="30" t="s">
        <v>24</v>
      </c>
      <c r="H41" s="30"/>
      <c r="I41" s="40" t="s">
        <v>113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3"/>
      <c r="B42" s="124"/>
      <c r="C42" s="125"/>
      <c r="D42" s="125"/>
      <c r="E42" s="14" t="s">
        <v>33</v>
      </c>
      <c r="F42" s="30"/>
      <c r="G42" s="30" t="s">
        <v>24</v>
      </c>
      <c r="H42" s="30"/>
      <c r="I42" s="14" t="s">
        <v>118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3"/>
      <c r="B43" s="124"/>
      <c r="C43" s="125"/>
      <c r="D43" s="125"/>
      <c r="E43" s="14" t="s">
        <v>63</v>
      </c>
      <c r="F43" s="30"/>
      <c r="G43" s="30" t="s">
        <v>24</v>
      </c>
      <c r="H43" s="30"/>
      <c r="I43" s="14" t="s">
        <v>25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4"/>
      <c r="C44" s="125"/>
      <c r="D44" s="125"/>
      <c r="E44" s="14" t="s">
        <v>116</v>
      </c>
      <c r="F44" s="30"/>
      <c r="G44" s="30" t="s">
        <v>24</v>
      </c>
      <c r="H44" s="30"/>
      <c r="I44" s="14" t="s">
        <v>42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4"/>
      <c r="C45" s="129"/>
      <c r="D45" s="125"/>
      <c r="E45" s="14" t="s">
        <v>39</v>
      </c>
      <c r="F45" s="30"/>
      <c r="G45" s="30" t="s">
        <v>24</v>
      </c>
      <c r="H45" s="30"/>
      <c r="I45" s="14" t="s">
        <v>116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3"/>
      <c r="B46" s="128"/>
      <c r="C46" s="129"/>
      <c r="D46" s="125"/>
      <c r="E46" s="14" t="s">
        <v>112</v>
      </c>
      <c r="F46" s="30"/>
      <c r="G46" s="30" t="s">
        <v>24</v>
      </c>
      <c r="H46" s="30"/>
      <c r="I46" s="14" t="s">
        <v>61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3"/>
      <c r="B47" s="128"/>
      <c r="C47" s="129"/>
      <c r="D47" s="125"/>
      <c r="E47" s="14" t="s">
        <v>113</v>
      </c>
      <c r="F47" s="30"/>
      <c r="G47" s="30" t="s">
        <v>24</v>
      </c>
      <c r="H47" s="30"/>
      <c r="I47" s="14" t="s">
        <v>36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3"/>
      <c r="B48" s="128"/>
      <c r="C48" s="129"/>
      <c r="D48" s="125"/>
      <c r="E48" s="40" t="s">
        <v>118</v>
      </c>
      <c r="F48" s="30"/>
      <c r="G48" s="30" t="s">
        <v>24</v>
      </c>
      <c r="H48" s="30"/>
      <c r="I48" s="40" t="s">
        <v>97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3"/>
      <c r="B49" s="128"/>
      <c r="C49" s="129"/>
      <c r="D49" s="125"/>
      <c r="E49" s="40" t="s">
        <v>25</v>
      </c>
      <c r="F49" s="30"/>
      <c r="G49" s="30" t="s">
        <v>24</v>
      </c>
      <c r="H49" s="30"/>
      <c r="I49" s="40" t="s">
        <v>33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8"/>
      <c r="C50" s="129"/>
      <c r="D50" s="125"/>
      <c r="E50" s="14" t="s">
        <v>42</v>
      </c>
      <c r="F50" s="30"/>
      <c r="G50" s="30" t="s">
        <v>24</v>
      </c>
      <c r="H50" s="30"/>
      <c r="I50" s="14" t="s">
        <v>63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4"/>
      <c r="C51" s="129"/>
      <c r="D51" s="125"/>
      <c r="E51" s="14" t="s">
        <v>39</v>
      </c>
      <c r="F51" s="125"/>
      <c r="G51" s="30" t="s">
        <v>24</v>
      </c>
      <c r="H51" s="30"/>
      <c r="I51" s="14" t="s">
        <v>112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3"/>
      <c r="B52" s="124"/>
      <c r="C52" s="129"/>
      <c r="D52" s="125"/>
      <c r="E52" s="14" t="s">
        <v>61</v>
      </c>
      <c r="F52" s="125"/>
      <c r="G52" s="30" t="s">
        <v>24</v>
      </c>
      <c r="H52" s="30"/>
      <c r="I52" s="14" t="s">
        <v>113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3"/>
      <c r="B53" s="124"/>
      <c r="C53" s="129"/>
      <c r="D53" s="125"/>
      <c r="E53" s="14" t="s">
        <v>36</v>
      </c>
      <c r="F53" s="125"/>
      <c r="G53" s="30" t="s">
        <v>24</v>
      </c>
      <c r="H53" s="30"/>
      <c r="I53" s="14" t="s">
        <v>118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3"/>
      <c r="B54" s="124"/>
      <c r="C54" s="129"/>
      <c r="D54" s="125"/>
      <c r="E54" s="14" t="s">
        <v>97</v>
      </c>
      <c r="F54" s="125"/>
      <c r="G54" s="30" t="s">
        <v>24</v>
      </c>
      <c r="H54" s="30"/>
      <c r="I54" s="14" t="s">
        <v>25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3"/>
      <c r="B55" s="124"/>
      <c r="C55" s="129"/>
      <c r="D55" s="125"/>
      <c r="E55" s="14" t="s">
        <v>33</v>
      </c>
      <c r="F55" s="125"/>
      <c r="G55" s="30" t="s">
        <v>24</v>
      </c>
      <c r="H55" s="30"/>
      <c r="I55" s="14" t="s">
        <v>42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4"/>
      <c r="C56" s="129"/>
      <c r="D56" s="125"/>
      <c r="E56" s="14" t="s">
        <v>116</v>
      </c>
      <c r="F56" s="125"/>
      <c r="G56" s="30" t="s">
        <v>24</v>
      </c>
      <c r="H56" s="30"/>
      <c r="I56" s="14" t="s">
        <v>63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8"/>
      <c r="C57" s="125"/>
      <c r="D57" s="125"/>
      <c r="E57" s="14" t="s">
        <v>116</v>
      </c>
      <c r="F57" s="30"/>
      <c r="G57" s="30" t="s">
        <v>24</v>
      </c>
      <c r="H57" s="30"/>
      <c r="I57" s="14" t="s">
        <v>112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3"/>
      <c r="B58" s="124"/>
      <c r="C58" s="125"/>
      <c r="D58" s="125"/>
      <c r="E58" s="14" t="s">
        <v>113</v>
      </c>
      <c r="F58" s="30"/>
      <c r="G58" s="30" t="s">
        <v>24</v>
      </c>
      <c r="H58" s="30"/>
      <c r="I58" s="14" t="s">
        <v>39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3"/>
      <c r="B59" s="124"/>
      <c r="C59" s="125"/>
      <c r="D59" s="125"/>
      <c r="E59" s="14" t="s">
        <v>118</v>
      </c>
      <c r="F59" s="30"/>
      <c r="G59" s="30" t="s">
        <v>24</v>
      </c>
      <c r="H59" s="30"/>
      <c r="I59" s="14" t="s">
        <v>61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3"/>
      <c r="B60" s="124"/>
      <c r="C60" s="125"/>
      <c r="D60" s="125"/>
      <c r="E60" s="14" t="s">
        <v>25</v>
      </c>
      <c r="F60" s="30"/>
      <c r="G60" s="30" t="s">
        <v>24</v>
      </c>
      <c r="H60" s="30"/>
      <c r="I60" s="14" t="s">
        <v>36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3"/>
      <c r="B61" s="124"/>
      <c r="C61" s="125"/>
      <c r="D61" s="125"/>
      <c r="E61" s="14" t="s">
        <v>42</v>
      </c>
      <c r="F61" s="30"/>
      <c r="G61" s="30" t="s">
        <v>24</v>
      </c>
      <c r="H61" s="30"/>
      <c r="I61" s="14" t="s">
        <v>97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4"/>
      <c r="C62" s="125"/>
      <c r="D62" s="125"/>
      <c r="E62" s="14" t="s">
        <v>63</v>
      </c>
      <c r="F62" s="30"/>
      <c r="G62" s="30" t="s">
        <v>24</v>
      </c>
      <c r="H62" s="30"/>
      <c r="I62" s="14" t="s">
        <v>33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4"/>
      <c r="C63" s="129"/>
      <c r="D63" s="125"/>
      <c r="E63" s="14" t="s">
        <v>112</v>
      </c>
      <c r="F63" s="30"/>
      <c r="G63" s="30" t="s">
        <v>24</v>
      </c>
      <c r="H63" s="30"/>
      <c r="I63" s="14" t="s">
        <v>113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3"/>
      <c r="B64" s="124"/>
      <c r="C64" s="129"/>
      <c r="D64" s="125"/>
      <c r="E64" s="14" t="s">
        <v>39</v>
      </c>
      <c r="F64" s="30"/>
      <c r="G64" s="30" t="s">
        <v>24</v>
      </c>
      <c r="H64" s="30"/>
      <c r="I64" s="14" t="s">
        <v>118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3"/>
      <c r="B65" s="124"/>
      <c r="C65" s="129"/>
      <c r="D65" s="125"/>
      <c r="E65" s="14" t="s">
        <v>61</v>
      </c>
      <c r="F65" s="30"/>
      <c r="G65" s="30" t="s">
        <v>24</v>
      </c>
      <c r="H65" s="30"/>
      <c r="I65" s="14" t="s">
        <v>25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3"/>
      <c r="B66" s="124"/>
      <c r="C66" s="129"/>
      <c r="D66" s="125"/>
      <c r="E66" s="14" t="s">
        <v>36</v>
      </c>
      <c r="F66" s="30"/>
      <c r="G66" s="30" t="s">
        <v>24</v>
      </c>
      <c r="H66" s="30"/>
      <c r="I66" s="14" t="s">
        <v>42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3"/>
      <c r="B67" s="124"/>
      <c r="C67" s="129"/>
      <c r="D67" s="125"/>
      <c r="E67" s="14" t="s">
        <v>97</v>
      </c>
      <c r="F67" s="30"/>
      <c r="G67" s="30" t="s">
        <v>24</v>
      </c>
      <c r="H67" s="30"/>
      <c r="I67" s="14" t="s">
        <v>63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8"/>
      <c r="C68" s="129"/>
      <c r="D68" s="125"/>
      <c r="E68" s="14" t="s">
        <v>33</v>
      </c>
      <c r="F68" s="13"/>
      <c r="G68" s="30" t="s">
        <v>24</v>
      </c>
      <c r="H68" s="13"/>
      <c r="I68" s="14" t="s">
        <v>116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39" t="s">
        <v>205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30"/>
      <c r="G74" s="30" t="s">
        <v>24</v>
      </c>
      <c r="H74" s="30"/>
      <c r="I74" s="14" t="s">
        <v>54</v>
      </c>
      <c r="J74" s="115"/>
      <c r="K74" s="116" t="str">
        <f t="shared" ref="K74:K139" si="9">IFS(F74=H74+2,3,F74=H74-2,0,F74=H74+1,2,F74=H74-1,1,F74="","")</f>
        <v/>
      </c>
      <c r="L74" s="117" t="str">
        <f t="shared" ref="L74:L139" si="10">IFS(H74=F74+2,3,H74=F74-2,0,H74=F74+1,2,H74=F74-1,1,H74="","")</f>
        <v/>
      </c>
      <c r="M74" s="115"/>
      <c r="N74" s="117">
        <v>1.0</v>
      </c>
      <c r="O74" s="118" t="s">
        <v>162</v>
      </c>
      <c r="P74" s="117">
        <f t="shared" ref="P74:P84" si="11">SUMIF(E$74:E$139,O74,K$74:K$139)+SUMIF(I$74:I$139,O74,L$74:L$139)</f>
        <v>0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0</v>
      </c>
      <c r="T74" s="117">
        <f t="shared" ref="T74:T84" si="14">SUMIF(E$74:E$139,O74,F$74:F$139)+SUMIF(I$74:I$139,O74,H$74:H$139)</f>
        <v>0</v>
      </c>
      <c r="U74" s="120">
        <f t="shared" ref="U74:U84" si="15">SUMIF(E$74:E$139,O74,H$74:H$139)+SUMIF(I$74:I$139,O74,F$74:F$139)</f>
        <v>0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CBM</v>
      </c>
      <c r="AC74" s="21">
        <v>0.0</v>
      </c>
      <c r="AD74" s="21">
        <v>0.0</v>
      </c>
      <c r="AE74" s="22"/>
      <c r="AF74" s="22">
        <v>0.0</v>
      </c>
      <c r="AG74" s="21">
        <v>0.0</v>
      </c>
      <c r="AH74" s="22">
        <v>0.0</v>
      </c>
      <c r="AI74" s="21">
        <v>0.0</v>
      </c>
      <c r="AJ74" s="16"/>
    </row>
    <row r="75" ht="15.75" customHeight="1">
      <c r="A75" s="23"/>
      <c r="B75" s="11">
        <v>45943.0</v>
      </c>
      <c r="C75" s="12" t="s">
        <v>53</v>
      </c>
      <c r="D75" s="12" t="s">
        <v>22</v>
      </c>
      <c r="E75" s="14" t="s">
        <v>183</v>
      </c>
      <c r="F75" s="30"/>
      <c r="G75" s="30" t="s">
        <v>24</v>
      </c>
      <c r="H75" s="30"/>
      <c r="I75" s="14" t="s">
        <v>145</v>
      </c>
      <c r="J75" s="115"/>
      <c r="K75" s="116" t="str">
        <f t="shared" si="9"/>
        <v/>
      </c>
      <c r="L75" s="117" t="str">
        <f t="shared" si="10"/>
        <v/>
      </c>
      <c r="M75" s="115"/>
      <c r="N75" s="117">
        <v>2.0</v>
      </c>
      <c r="O75" s="118" t="s">
        <v>32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32</v>
      </c>
      <c r="AC75" s="21">
        <v>0.0</v>
      </c>
      <c r="AD75" s="21">
        <v>0.0</v>
      </c>
      <c r="AE75" s="22"/>
      <c r="AF75" s="22">
        <v>0.0</v>
      </c>
      <c r="AG75" s="21">
        <v>0.0</v>
      </c>
      <c r="AH75" s="22">
        <v>0.0</v>
      </c>
      <c r="AI75" s="21">
        <v>0.0</v>
      </c>
      <c r="AJ75" s="16"/>
    </row>
    <row r="76" ht="15.75" customHeight="1">
      <c r="A76" s="23"/>
      <c r="B76" s="11">
        <v>45943.0</v>
      </c>
      <c r="C76" s="12" t="s">
        <v>53</v>
      </c>
      <c r="D76" s="12" t="s">
        <v>22</v>
      </c>
      <c r="E76" s="14" t="s">
        <v>23</v>
      </c>
      <c r="F76" s="30"/>
      <c r="G76" s="30" t="s">
        <v>24</v>
      </c>
      <c r="H76" s="30"/>
      <c r="I76" s="14" t="s">
        <v>37</v>
      </c>
      <c r="J76" s="115"/>
      <c r="K76" s="116" t="str">
        <f t="shared" si="9"/>
        <v/>
      </c>
      <c r="L76" s="117" t="str">
        <f t="shared" si="10"/>
        <v/>
      </c>
      <c r="M76" s="115"/>
      <c r="N76" s="117">
        <v>3.0</v>
      </c>
      <c r="O76" s="118" t="s">
        <v>54</v>
      </c>
      <c r="P76" s="117">
        <f t="shared" si="11"/>
        <v>0</v>
      </c>
      <c r="Q76" s="119">
        <f t="shared" si="12"/>
        <v>0</v>
      </c>
      <c r="R76" s="120"/>
      <c r="S76" s="120">
        <f t="shared" si="13"/>
        <v>0</v>
      </c>
      <c r="T76" s="117">
        <f t="shared" si="14"/>
        <v>0</v>
      </c>
      <c r="U76" s="120">
        <f t="shared" si="15"/>
        <v>0</v>
      </c>
      <c r="V76" s="117">
        <f t="shared" si="16"/>
        <v>0</v>
      </c>
      <c r="X76" s="108" t="s">
        <v>40</v>
      </c>
      <c r="Y76" s="108">
        <v>0.0</v>
      </c>
      <c r="AA76" s="20">
        <v>3.0</v>
      </c>
      <c r="AB76" s="63" t="s">
        <v>54</v>
      </c>
      <c r="AC76" s="21">
        <v>0.0</v>
      </c>
      <c r="AD76" s="21">
        <v>0.0</v>
      </c>
      <c r="AE76" s="22"/>
      <c r="AF76" s="22">
        <v>0.0</v>
      </c>
      <c r="AG76" s="21">
        <v>0.0</v>
      </c>
      <c r="AH76" s="22">
        <v>0.0</v>
      </c>
      <c r="AI76" s="21">
        <v>0.0</v>
      </c>
      <c r="AJ76" s="16"/>
    </row>
    <row r="77" ht="15.75" customHeight="1">
      <c r="A77" s="23"/>
      <c r="B77" s="11">
        <v>45943.0</v>
      </c>
      <c r="C77" s="12" t="s">
        <v>21</v>
      </c>
      <c r="D77" s="12" t="s">
        <v>22</v>
      </c>
      <c r="E77" s="14" t="s">
        <v>59</v>
      </c>
      <c r="F77" s="30"/>
      <c r="G77" s="30" t="s">
        <v>24</v>
      </c>
      <c r="H77" s="30"/>
      <c r="I77" s="14" t="s">
        <v>57</v>
      </c>
      <c r="J77" s="115"/>
      <c r="K77" s="116" t="str">
        <f t="shared" si="9"/>
        <v/>
      </c>
      <c r="L77" s="117" t="str">
        <f t="shared" si="10"/>
        <v/>
      </c>
      <c r="M77" s="115"/>
      <c r="N77" s="117">
        <v>4.0</v>
      </c>
      <c r="O77" s="118" t="s">
        <v>159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0</v>
      </c>
      <c r="T77" s="117">
        <f t="shared" si="14"/>
        <v>0</v>
      </c>
      <c r="U77" s="120">
        <f t="shared" si="15"/>
        <v>0</v>
      </c>
      <c r="V77" s="117">
        <f t="shared" si="16"/>
        <v>0</v>
      </c>
      <c r="AA77" s="20">
        <v>4.0</v>
      </c>
      <c r="AB77" s="63" t="s">
        <v>159</v>
      </c>
      <c r="AC77" s="21">
        <v>0.0</v>
      </c>
      <c r="AD77" s="21">
        <v>0.0</v>
      </c>
      <c r="AE77" s="22"/>
      <c r="AF77" s="22">
        <v>0.0</v>
      </c>
      <c r="AG77" s="21">
        <v>0.0</v>
      </c>
      <c r="AH77" s="22">
        <v>0.0</v>
      </c>
      <c r="AI77" s="21">
        <v>0.0</v>
      </c>
      <c r="AJ77" s="16"/>
    </row>
    <row r="78" ht="15.75" customHeight="1">
      <c r="A78" s="23"/>
      <c r="B78" s="11">
        <v>45943.0</v>
      </c>
      <c r="C78" s="12" t="s">
        <v>21</v>
      </c>
      <c r="D78" s="12" t="s">
        <v>22</v>
      </c>
      <c r="E78" s="14" t="s">
        <v>159</v>
      </c>
      <c r="F78" s="30"/>
      <c r="G78" s="30" t="s">
        <v>24</v>
      </c>
      <c r="H78" s="30"/>
      <c r="I78" s="14" t="s">
        <v>206</v>
      </c>
      <c r="J78" s="115"/>
      <c r="K78" s="116" t="str">
        <f t="shared" si="9"/>
        <v/>
      </c>
      <c r="L78" s="117" t="str">
        <f t="shared" si="10"/>
        <v/>
      </c>
      <c r="M78" s="115"/>
      <c r="N78" s="117">
        <v>5.0</v>
      </c>
      <c r="O78" s="118" t="s">
        <v>145</v>
      </c>
      <c r="P78" s="117">
        <f t="shared" si="11"/>
        <v>0</v>
      </c>
      <c r="Q78" s="119">
        <f t="shared" si="12"/>
        <v>0</v>
      </c>
      <c r="R78" s="120"/>
      <c r="S78" s="120">
        <f t="shared" si="13"/>
        <v>0</v>
      </c>
      <c r="T78" s="117">
        <f t="shared" si="14"/>
        <v>0</v>
      </c>
      <c r="U78" s="120">
        <f t="shared" si="15"/>
        <v>0</v>
      </c>
      <c r="V78" s="117">
        <f t="shared" si="16"/>
        <v>0</v>
      </c>
      <c r="AA78" s="20">
        <v>5.0</v>
      </c>
      <c r="AB78" s="63" t="s">
        <v>145</v>
      </c>
      <c r="AC78" s="21">
        <v>0.0</v>
      </c>
      <c r="AD78" s="21">
        <v>0.0</v>
      </c>
      <c r="AE78" s="22"/>
      <c r="AF78" s="22">
        <v>0.0</v>
      </c>
      <c r="AG78" s="21">
        <v>0.0</v>
      </c>
      <c r="AH78" s="22">
        <v>0.0</v>
      </c>
      <c r="AI78" s="21">
        <v>0.0</v>
      </c>
      <c r="AJ78" s="16"/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32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59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0</v>
      </c>
      <c r="T79" s="117">
        <f t="shared" si="14"/>
        <v>0</v>
      </c>
      <c r="U79" s="120">
        <f t="shared" si="15"/>
        <v>0</v>
      </c>
      <c r="V79" s="117">
        <f t="shared" si="16"/>
        <v>0</v>
      </c>
      <c r="AA79" s="20">
        <v>6.0</v>
      </c>
      <c r="AB79" s="63" t="s">
        <v>59</v>
      </c>
      <c r="AC79" s="21">
        <v>0.0</v>
      </c>
      <c r="AD79" s="21">
        <v>0.0</v>
      </c>
      <c r="AE79" s="22"/>
      <c r="AF79" s="22">
        <v>0.0</v>
      </c>
      <c r="AG79" s="21">
        <v>0.0</v>
      </c>
      <c r="AH79" s="22">
        <v>0.0</v>
      </c>
      <c r="AI79" s="21">
        <v>0.0</v>
      </c>
      <c r="AJ79" s="16"/>
    </row>
    <row r="80" ht="15.75" customHeight="1">
      <c r="A80" s="58">
        <v>2.0</v>
      </c>
      <c r="B80" s="124"/>
      <c r="C80" s="129"/>
      <c r="D80" s="125"/>
      <c r="E80" s="14" t="s">
        <v>54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37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0</v>
      </c>
      <c r="T80" s="117">
        <f t="shared" si="14"/>
        <v>0</v>
      </c>
      <c r="U80" s="120">
        <f t="shared" si="15"/>
        <v>0</v>
      </c>
      <c r="V80" s="117">
        <f t="shared" si="16"/>
        <v>0</v>
      </c>
      <c r="AA80" s="20">
        <v>7.0</v>
      </c>
      <c r="AB80" s="63" t="s">
        <v>37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  <c r="AJ80" s="16"/>
    </row>
    <row r="81" ht="15.75" customHeight="1">
      <c r="A81" s="23"/>
      <c r="B81" s="11">
        <v>45943.0</v>
      </c>
      <c r="C81" s="12" t="s">
        <v>21</v>
      </c>
      <c r="D81" s="12" t="s">
        <v>22</v>
      </c>
      <c r="E81" s="14" t="s">
        <v>145</v>
      </c>
      <c r="F81" s="13"/>
      <c r="G81" s="30" t="s">
        <v>24</v>
      </c>
      <c r="H81" s="13"/>
      <c r="I81" s="14" t="s">
        <v>162</v>
      </c>
      <c r="J81" s="115"/>
      <c r="K81" s="116" t="str">
        <f t="shared" si="9"/>
        <v/>
      </c>
      <c r="L81" s="117" t="str">
        <f t="shared" si="10"/>
        <v/>
      </c>
      <c r="M81" s="115"/>
      <c r="N81" s="117">
        <v>8.0</v>
      </c>
      <c r="O81" s="118" t="s">
        <v>23</v>
      </c>
      <c r="P81" s="117">
        <f t="shared" si="11"/>
        <v>0</v>
      </c>
      <c r="Q81" s="119">
        <f t="shared" si="12"/>
        <v>0</v>
      </c>
      <c r="R81" s="120"/>
      <c r="S81" s="120">
        <f t="shared" si="13"/>
        <v>0</v>
      </c>
      <c r="T81" s="117">
        <f t="shared" si="14"/>
        <v>0</v>
      </c>
      <c r="U81" s="120">
        <f t="shared" si="15"/>
        <v>0</v>
      </c>
      <c r="V81" s="117">
        <f t="shared" si="16"/>
        <v>0</v>
      </c>
      <c r="AA81" s="20">
        <v>8.0</v>
      </c>
      <c r="AB81" s="63" t="s">
        <v>23</v>
      </c>
      <c r="AC81" s="21">
        <v>0.0</v>
      </c>
      <c r="AD81" s="21">
        <v>0.0</v>
      </c>
      <c r="AE81" s="22"/>
      <c r="AF81" s="22">
        <v>0.0</v>
      </c>
      <c r="AG81" s="21">
        <v>0.0</v>
      </c>
      <c r="AH81" s="22">
        <v>0.0</v>
      </c>
      <c r="AI81" s="21">
        <v>0.0</v>
      </c>
      <c r="AJ81" s="16"/>
    </row>
    <row r="82" ht="15.75" customHeight="1">
      <c r="A82" s="23"/>
      <c r="B82" s="11">
        <v>45958.0</v>
      </c>
      <c r="C82" s="12" t="s">
        <v>30</v>
      </c>
      <c r="D82" s="12" t="s">
        <v>22</v>
      </c>
      <c r="E82" s="14" t="s">
        <v>37</v>
      </c>
      <c r="F82" s="30"/>
      <c r="G82" s="30" t="s">
        <v>24</v>
      </c>
      <c r="H82" s="30"/>
      <c r="I82" s="14" t="s">
        <v>183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57</v>
      </c>
      <c r="P82" s="117">
        <f t="shared" si="11"/>
        <v>0</v>
      </c>
      <c r="Q82" s="119">
        <f t="shared" si="12"/>
        <v>0</v>
      </c>
      <c r="R82" s="120"/>
      <c r="S82" s="120">
        <f t="shared" si="13"/>
        <v>0</v>
      </c>
      <c r="T82" s="117">
        <f t="shared" si="14"/>
        <v>0</v>
      </c>
      <c r="U82" s="120">
        <f t="shared" si="15"/>
        <v>0</v>
      </c>
      <c r="V82" s="117">
        <f t="shared" si="16"/>
        <v>0</v>
      </c>
      <c r="AA82" s="20">
        <v>9.0</v>
      </c>
      <c r="AB82" s="63" t="s">
        <v>57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  <c r="AJ82" s="16"/>
    </row>
    <row r="83" ht="15.75" customHeight="1">
      <c r="A83" s="23"/>
      <c r="B83" s="11">
        <v>45958.0</v>
      </c>
      <c r="C83" s="12" t="s">
        <v>30</v>
      </c>
      <c r="D83" s="12" t="s">
        <v>22</v>
      </c>
      <c r="E83" s="14" t="s">
        <v>57</v>
      </c>
      <c r="F83" s="30"/>
      <c r="G83" s="30" t="s">
        <v>24</v>
      </c>
      <c r="H83" s="30"/>
      <c r="I83" s="14" t="s">
        <v>23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183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0</v>
      </c>
      <c r="T83" s="117">
        <f t="shared" si="14"/>
        <v>0</v>
      </c>
      <c r="U83" s="120">
        <f t="shared" si="15"/>
        <v>0</v>
      </c>
      <c r="V83" s="117">
        <f t="shared" si="16"/>
        <v>0</v>
      </c>
      <c r="AA83" s="20">
        <v>10.0</v>
      </c>
      <c r="AB83" s="63" t="s">
        <v>183</v>
      </c>
      <c r="AC83" s="21">
        <v>0.0</v>
      </c>
      <c r="AD83" s="21">
        <v>0.0</v>
      </c>
      <c r="AE83" s="22"/>
      <c r="AF83" s="22">
        <v>0.0</v>
      </c>
      <c r="AG83" s="21">
        <v>0.0</v>
      </c>
      <c r="AH83" s="22">
        <v>0.0</v>
      </c>
      <c r="AI83" s="21">
        <v>0.0</v>
      </c>
      <c r="AJ83" s="3"/>
    </row>
    <row r="84" ht="15.75" customHeight="1">
      <c r="A84" s="23"/>
      <c r="B84" s="11">
        <v>45958.0</v>
      </c>
      <c r="C84" s="12" t="s">
        <v>30</v>
      </c>
      <c r="D84" s="12" t="s">
        <v>22</v>
      </c>
      <c r="E84" s="14" t="s">
        <v>206</v>
      </c>
      <c r="F84" s="30"/>
      <c r="G84" s="30" t="s">
        <v>24</v>
      </c>
      <c r="H84" s="30"/>
      <c r="I84" s="14" t="s">
        <v>59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206</v>
      </c>
      <c r="P84" s="117">
        <f t="shared" si="11"/>
        <v>0</v>
      </c>
      <c r="Q84" s="119">
        <f t="shared" si="12"/>
        <v>0</v>
      </c>
      <c r="S84" s="120">
        <f t="shared" si="13"/>
        <v>0</v>
      </c>
      <c r="T84" s="117">
        <f t="shared" si="14"/>
        <v>0</v>
      </c>
      <c r="U84" s="120">
        <f t="shared" si="15"/>
        <v>0</v>
      </c>
      <c r="V84" s="117">
        <f t="shared" si="16"/>
        <v>0</v>
      </c>
      <c r="AA84" s="48">
        <v>11.0</v>
      </c>
      <c r="AB84" s="63" t="s">
        <v>206</v>
      </c>
      <c r="AC84" s="21">
        <v>0.0</v>
      </c>
      <c r="AD84" s="21">
        <v>0.0</v>
      </c>
      <c r="AE84" s="22"/>
      <c r="AF84" s="22">
        <v>0.0</v>
      </c>
      <c r="AG84" s="21">
        <v>0.0</v>
      </c>
      <c r="AH84" s="22">
        <v>0.0</v>
      </c>
      <c r="AI84" s="21">
        <v>0.0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30"/>
      <c r="G85" s="30" t="s">
        <v>24</v>
      </c>
      <c r="H85" s="30"/>
      <c r="I85" s="14" t="s">
        <v>159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30"/>
      <c r="G86" s="30" t="s">
        <v>24</v>
      </c>
      <c r="H86" s="30"/>
      <c r="I86" s="14" t="s">
        <v>145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3"/>
      <c r="B87" s="11">
        <v>45958.0</v>
      </c>
      <c r="C87" s="64" t="s">
        <v>35</v>
      </c>
      <c r="D87" s="12" t="s">
        <v>22</v>
      </c>
      <c r="E87" s="14" t="s">
        <v>162</v>
      </c>
      <c r="F87" s="30"/>
      <c r="G87" s="30" t="s">
        <v>24</v>
      </c>
      <c r="H87" s="30"/>
      <c r="I87" s="14" t="s">
        <v>37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  <c r="AJ87" s="3"/>
    </row>
    <row r="88" ht="15.75" customHeight="1">
      <c r="A88" s="23"/>
      <c r="B88" s="124"/>
      <c r="C88" s="125"/>
      <c r="D88" s="125"/>
      <c r="E88" s="14" t="s">
        <v>183</v>
      </c>
      <c r="F88" s="30"/>
      <c r="G88" s="30" t="s">
        <v>24</v>
      </c>
      <c r="H88" s="30"/>
      <c r="I88" s="14" t="s">
        <v>57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  <c r="AJ88" s="3"/>
    </row>
    <row r="89" ht="15.75" customHeight="1">
      <c r="A89" s="23"/>
      <c r="B89" s="124"/>
      <c r="C89" s="125"/>
      <c r="D89" s="125"/>
      <c r="E89" s="14" t="s">
        <v>23</v>
      </c>
      <c r="F89" s="30"/>
      <c r="G89" s="30" t="s">
        <v>24</v>
      </c>
      <c r="H89" s="30"/>
      <c r="I89" s="14" t="s">
        <v>206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  <c r="AJ89" s="3"/>
    </row>
    <row r="90" ht="15.75" customHeight="1">
      <c r="A90" s="23"/>
      <c r="B90" s="124"/>
      <c r="C90" s="125"/>
      <c r="D90" s="125"/>
      <c r="E90" s="14" t="s">
        <v>59</v>
      </c>
      <c r="F90" s="30"/>
      <c r="G90" s="30" t="s">
        <v>24</v>
      </c>
      <c r="H90" s="30"/>
      <c r="I90" s="14" t="s">
        <v>32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  <c r="AJ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159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  <c r="AJ91" s="3"/>
    </row>
    <row r="92" ht="15.75" customHeight="1">
      <c r="A92" s="134">
        <v>4.0</v>
      </c>
      <c r="B92" s="124"/>
      <c r="C92" s="125"/>
      <c r="D92" s="125"/>
      <c r="E92" s="14" t="s">
        <v>145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  <c r="AJ92" s="3"/>
    </row>
    <row r="93" ht="15.75" customHeight="1">
      <c r="A93" s="23"/>
      <c r="B93" s="124"/>
      <c r="C93" s="125"/>
      <c r="D93" s="125"/>
      <c r="E93" s="14" t="s">
        <v>37</v>
      </c>
      <c r="F93" s="30"/>
      <c r="G93" s="30" t="s">
        <v>24</v>
      </c>
      <c r="H93" s="30"/>
      <c r="I93" s="14" t="s">
        <v>54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  <c r="AJ93" s="3"/>
    </row>
    <row r="94" ht="15.75" customHeight="1">
      <c r="A94" s="23"/>
      <c r="B94" s="124"/>
      <c r="C94" s="125"/>
      <c r="D94" s="125"/>
      <c r="E94" s="14" t="s">
        <v>57</v>
      </c>
      <c r="F94" s="30"/>
      <c r="G94" s="30" t="s">
        <v>24</v>
      </c>
      <c r="H94" s="30"/>
      <c r="I94" s="14" t="s">
        <v>162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  <c r="AJ94" s="3"/>
    </row>
    <row r="95" ht="15.75" customHeight="1">
      <c r="A95" s="23"/>
      <c r="B95" s="124"/>
      <c r="C95" s="125"/>
      <c r="D95" s="125"/>
      <c r="E95" s="14" t="s">
        <v>206</v>
      </c>
      <c r="F95" s="30"/>
      <c r="G95" s="30" t="s">
        <v>24</v>
      </c>
      <c r="H95" s="30"/>
      <c r="I95" s="14" t="s">
        <v>183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3"/>
      <c r="B96" s="124"/>
      <c r="C96" s="125"/>
      <c r="D96" s="125"/>
      <c r="E96" s="14" t="s">
        <v>32</v>
      </c>
      <c r="F96" s="30"/>
      <c r="G96" s="30" t="s">
        <v>24</v>
      </c>
      <c r="H96" s="30"/>
      <c r="I96" s="14" t="s">
        <v>23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3"/>
      <c r="B97" s="124"/>
      <c r="C97" s="125"/>
      <c r="D97" s="125"/>
      <c r="E97" s="14" t="s">
        <v>159</v>
      </c>
      <c r="F97" s="30"/>
      <c r="G97" s="30" t="s">
        <v>24</v>
      </c>
      <c r="H97" s="30"/>
      <c r="I97" s="14" t="s">
        <v>59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4"/>
      <c r="C98" s="125"/>
      <c r="D98" s="125"/>
      <c r="E98" s="14" t="s">
        <v>145</v>
      </c>
      <c r="F98" s="30"/>
      <c r="G98" s="30" t="s">
        <v>24</v>
      </c>
      <c r="H98" s="30"/>
      <c r="I98" s="14" t="s">
        <v>37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3"/>
      <c r="B99" s="124"/>
      <c r="C99" s="125"/>
      <c r="D99" s="125"/>
      <c r="E99" s="14" t="s">
        <v>54</v>
      </c>
      <c r="F99" s="125"/>
      <c r="G99" s="30" t="s">
        <v>24</v>
      </c>
      <c r="H99" s="30"/>
      <c r="I99" s="14" t="s">
        <v>57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3"/>
      <c r="B100" s="124"/>
      <c r="C100" s="125"/>
      <c r="D100" s="125"/>
      <c r="E100" s="14" t="s">
        <v>162</v>
      </c>
      <c r="F100" s="125"/>
      <c r="G100" s="30" t="s">
        <v>24</v>
      </c>
      <c r="H100" s="30"/>
      <c r="I100" s="14" t="s">
        <v>206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3"/>
      <c r="B101" s="124"/>
      <c r="C101" s="125"/>
      <c r="D101" s="125"/>
      <c r="E101" s="14" t="s">
        <v>183</v>
      </c>
      <c r="F101" s="125"/>
      <c r="G101" s="30" t="s">
        <v>24</v>
      </c>
      <c r="H101" s="30"/>
      <c r="I101" s="14" t="s">
        <v>32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3"/>
      <c r="B102" s="124"/>
      <c r="C102" s="125"/>
      <c r="D102" s="125"/>
      <c r="E102" s="14" t="s">
        <v>23</v>
      </c>
      <c r="F102" s="125"/>
      <c r="G102" s="30" t="s">
        <v>24</v>
      </c>
      <c r="H102" s="30"/>
      <c r="I102" s="14" t="s">
        <v>159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59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4"/>
      <c r="C104" s="129"/>
      <c r="D104" s="125"/>
      <c r="E104" s="14" t="s">
        <v>37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3"/>
      <c r="B105" s="124"/>
      <c r="C105" s="125"/>
      <c r="D105" s="125"/>
      <c r="E105" s="14" t="s">
        <v>57</v>
      </c>
      <c r="F105" s="30"/>
      <c r="G105" s="30" t="s">
        <v>24</v>
      </c>
      <c r="H105" s="30"/>
      <c r="I105" s="14" t="s">
        <v>145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3"/>
      <c r="B106" s="124"/>
      <c r="C106" s="125"/>
      <c r="D106" s="125"/>
      <c r="E106" s="14" t="s">
        <v>206</v>
      </c>
      <c r="F106" s="30"/>
      <c r="G106" s="30" t="s">
        <v>24</v>
      </c>
      <c r="H106" s="30"/>
      <c r="I106" s="14" t="s">
        <v>54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3"/>
      <c r="B107" s="124"/>
      <c r="C107" s="129"/>
      <c r="D107" s="125"/>
      <c r="E107" s="14" t="s">
        <v>32</v>
      </c>
      <c r="F107" s="30"/>
      <c r="G107" s="30" t="s">
        <v>24</v>
      </c>
      <c r="H107" s="30"/>
      <c r="I107" s="14" t="s">
        <v>162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3"/>
      <c r="B108" s="124"/>
      <c r="C108" s="125"/>
      <c r="D108" s="125"/>
      <c r="E108" s="14" t="s">
        <v>159</v>
      </c>
      <c r="F108" s="30"/>
      <c r="G108" s="30" t="s">
        <v>24</v>
      </c>
      <c r="H108" s="30"/>
      <c r="I108" s="14" t="s">
        <v>183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4"/>
      <c r="C109" s="125"/>
      <c r="D109" s="125"/>
      <c r="E109" s="14" t="s">
        <v>59</v>
      </c>
      <c r="F109" s="30"/>
      <c r="G109" s="30" t="s">
        <v>24</v>
      </c>
      <c r="H109" s="30"/>
      <c r="I109" s="14" t="s">
        <v>23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4"/>
      <c r="C110" s="129"/>
      <c r="D110" s="125"/>
      <c r="E110" s="14" t="s">
        <v>37</v>
      </c>
      <c r="F110" s="30"/>
      <c r="G110" s="30" t="s">
        <v>24</v>
      </c>
      <c r="H110" s="30"/>
      <c r="I110" s="14" t="s">
        <v>57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3"/>
      <c r="B111" s="124"/>
      <c r="C111" s="129"/>
      <c r="D111" s="125"/>
      <c r="E111" s="14" t="s">
        <v>145</v>
      </c>
      <c r="F111" s="30"/>
      <c r="G111" s="30" t="s">
        <v>24</v>
      </c>
      <c r="H111" s="30"/>
      <c r="I111" s="14" t="s">
        <v>206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3"/>
      <c r="B112" s="124"/>
      <c r="C112" s="129"/>
      <c r="D112" s="125"/>
      <c r="E112" s="14" t="s">
        <v>54</v>
      </c>
      <c r="F112" s="30"/>
      <c r="G112" s="30" t="s">
        <v>24</v>
      </c>
      <c r="H112" s="30"/>
      <c r="I112" s="14" t="s">
        <v>32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3"/>
      <c r="B113" s="124"/>
      <c r="C113" s="129"/>
      <c r="D113" s="125"/>
      <c r="E113" s="14" t="s">
        <v>162</v>
      </c>
      <c r="F113" s="30"/>
      <c r="G113" s="30" t="s">
        <v>24</v>
      </c>
      <c r="H113" s="30"/>
      <c r="I113" s="14" t="s">
        <v>159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3"/>
      <c r="B114" s="124"/>
      <c r="C114" s="125"/>
      <c r="D114" s="125"/>
      <c r="E114" s="14" t="s">
        <v>183</v>
      </c>
      <c r="F114" s="30"/>
      <c r="G114" s="30" t="s">
        <v>24</v>
      </c>
      <c r="H114" s="30"/>
      <c r="I114" s="14" t="s">
        <v>59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23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4"/>
      <c r="C116" s="129"/>
      <c r="D116" s="125"/>
      <c r="E116" s="14" t="s">
        <v>57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3"/>
      <c r="B117" s="124"/>
      <c r="C117" s="129"/>
      <c r="D117" s="125"/>
      <c r="E117" s="14" t="s">
        <v>206</v>
      </c>
      <c r="F117" s="30"/>
      <c r="G117" s="30" t="s">
        <v>24</v>
      </c>
      <c r="H117" s="30"/>
      <c r="I117" s="14" t="s">
        <v>37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3"/>
      <c r="B118" s="124"/>
      <c r="C118" s="129"/>
      <c r="D118" s="125"/>
      <c r="E118" s="14" t="s">
        <v>32</v>
      </c>
      <c r="F118" s="30"/>
      <c r="G118" s="30" t="s">
        <v>24</v>
      </c>
      <c r="H118" s="30"/>
      <c r="I118" s="14" t="s">
        <v>145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3"/>
      <c r="B119" s="124"/>
      <c r="C119" s="129"/>
      <c r="D119" s="125"/>
      <c r="E119" s="14" t="s">
        <v>159</v>
      </c>
      <c r="F119" s="30"/>
      <c r="G119" s="30" t="s">
        <v>24</v>
      </c>
      <c r="H119" s="30"/>
      <c r="I119" s="14" t="s">
        <v>54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3"/>
      <c r="B120" s="124"/>
      <c r="C120" s="125"/>
      <c r="D120" s="125"/>
      <c r="E120" s="14" t="s">
        <v>59</v>
      </c>
      <c r="F120" s="30"/>
      <c r="G120" s="30" t="s">
        <v>24</v>
      </c>
      <c r="H120" s="30"/>
      <c r="I120" s="14" t="s">
        <v>162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4"/>
      <c r="C121" s="125"/>
      <c r="D121" s="125"/>
      <c r="E121" s="14" t="s">
        <v>23</v>
      </c>
      <c r="F121" s="30"/>
      <c r="G121" s="30" t="s">
        <v>24</v>
      </c>
      <c r="H121" s="30"/>
      <c r="I121" s="14" t="s">
        <v>183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4"/>
      <c r="C122" s="129"/>
      <c r="D122" s="125"/>
      <c r="E122" s="14" t="s">
        <v>57</v>
      </c>
      <c r="F122" s="30"/>
      <c r="G122" s="30" t="s">
        <v>24</v>
      </c>
      <c r="H122" s="30"/>
      <c r="I122" s="14" t="s">
        <v>206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3"/>
      <c r="B123" s="124"/>
      <c r="C123" s="129"/>
      <c r="D123" s="125"/>
      <c r="E123" s="14" t="s">
        <v>37</v>
      </c>
      <c r="F123" s="30"/>
      <c r="G123" s="30" t="s">
        <v>24</v>
      </c>
      <c r="H123" s="30"/>
      <c r="I123" s="14" t="s">
        <v>32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3"/>
      <c r="B124" s="124"/>
      <c r="C124" s="129"/>
      <c r="D124" s="125"/>
      <c r="E124" s="14" t="s">
        <v>145</v>
      </c>
      <c r="F124" s="30"/>
      <c r="G124" s="30" t="s">
        <v>24</v>
      </c>
      <c r="H124" s="30"/>
      <c r="I124" s="14" t="s">
        <v>159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3"/>
      <c r="B125" s="124"/>
      <c r="C125" s="129"/>
      <c r="D125" s="125"/>
      <c r="E125" s="14" t="s">
        <v>54</v>
      </c>
      <c r="F125" s="30"/>
      <c r="G125" s="30" t="s">
        <v>24</v>
      </c>
      <c r="H125" s="30"/>
      <c r="I125" s="14" t="s">
        <v>59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3"/>
      <c r="B126" s="124"/>
      <c r="C126" s="125"/>
      <c r="D126" s="125"/>
      <c r="E126" s="14" t="s">
        <v>162</v>
      </c>
      <c r="F126" s="30"/>
      <c r="G126" s="30" t="s">
        <v>24</v>
      </c>
      <c r="H126" s="30"/>
      <c r="I126" s="14" t="s">
        <v>23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183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206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3"/>
      <c r="B129" s="124"/>
      <c r="C129" s="129"/>
      <c r="D129" s="125"/>
      <c r="E129" s="14" t="s">
        <v>32</v>
      </c>
      <c r="F129" s="30"/>
      <c r="G129" s="30" t="s">
        <v>24</v>
      </c>
      <c r="H129" s="30"/>
      <c r="I129" s="14" t="s">
        <v>57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3"/>
      <c r="B130" s="124"/>
      <c r="C130" s="129"/>
      <c r="D130" s="125"/>
      <c r="E130" s="14" t="s">
        <v>159</v>
      </c>
      <c r="F130" s="30"/>
      <c r="G130" s="30" t="s">
        <v>24</v>
      </c>
      <c r="H130" s="30"/>
      <c r="I130" s="14" t="s">
        <v>37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3"/>
      <c r="B131" s="124"/>
      <c r="C131" s="129"/>
      <c r="D131" s="125"/>
      <c r="E131" s="14" t="s">
        <v>59</v>
      </c>
      <c r="F131" s="30"/>
      <c r="G131" s="30" t="s">
        <v>24</v>
      </c>
      <c r="H131" s="30"/>
      <c r="I131" s="14" t="s">
        <v>145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3"/>
      <c r="B132" s="124"/>
      <c r="C132" s="125"/>
      <c r="D132" s="125"/>
      <c r="E132" s="14" t="s">
        <v>23</v>
      </c>
      <c r="F132" s="30"/>
      <c r="G132" s="30" t="s">
        <v>24</v>
      </c>
      <c r="H132" s="30"/>
      <c r="I132" s="14" t="s">
        <v>54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4"/>
      <c r="C133" s="125"/>
      <c r="D133" s="125"/>
      <c r="E133" s="14" t="s">
        <v>183</v>
      </c>
      <c r="F133" s="30"/>
      <c r="G133" s="30" t="s">
        <v>24</v>
      </c>
      <c r="H133" s="30"/>
      <c r="I133" s="14" t="s">
        <v>162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4"/>
      <c r="C134" s="129"/>
      <c r="D134" s="125"/>
      <c r="E134" s="14" t="s">
        <v>206</v>
      </c>
      <c r="F134" s="13"/>
      <c r="G134" s="30" t="s">
        <v>24</v>
      </c>
      <c r="H134" s="13"/>
      <c r="I134" s="14" t="s">
        <v>32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3"/>
      <c r="B135" s="124"/>
      <c r="C135" s="129"/>
      <c r="D135" s="125"/>
      <c r="E135" s="14" t="s">
        <v>57</v>
      </c>
      <c r="F135" s="30"/>
      <c r="G135" s="30" t="s">
        <v>24</v>
      </c>
      <c r="H135" s="30"/>
      <c r="I135" s="14" t="s">
        <v>159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3"/>
      <c r="B136" s="124"/>
      <c r="C136" s="129"/>
      <c r="D136" s="125"/>
      <c r="E136" s="14" t="s">
        <v>37</v>
      </c>
      <c r="F136" s="30"/>
      <c r="G136" s="30" t="s">
        <v>24</v>
      </c>
      <c r="H136" s="30"/>
      <c r="I136" s="14" t="s">
        <v>59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3"/>
      <c r="B137" s="124"/>
      <c r="C137" s="129"/>
      <c r="D137" s="125"/>
      <c r="E137" s="14" t="s">
        <v>145</v>
      </c>
      <c r="F137" s="30"/>
      <c r="G137" s="30" t="s">
        <v>24</v>
      </c>
      <c r="H137" s="30"/>
      <c r="I137" s="14" t="s">
        <v>23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3"/>
      <c r="B138" s="124"/>
      <c r="C138" s="125"/>
      <c r="D138" s="125"/>
      <c r="E138" s="14" t="s">
        <v>54</v>
      </c>
      <c r="F138" s="13"/>
      <c r="G138" s="30" t="s">
        <v>24</v>
      </c>
      <c r="H138" s="13"/>
      <c r="I138" s="14" t="s">
        <v>183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4"/>
      <c r="C139" s="125"/>
      <c r="D139" s="125"/>
      <c r="E139" s="14" t="s">
        <v>162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39" t="s">
        <v>208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30"/>
      <c r="G146" s="30" t="s">
        <v>24</v>
      </c>
      <c r="H146" s="30"/>
      <c r="I146" s="14" t="s">
        <v>209</v>
      </c>
      <c r="J146" s="115"/>
      <c r="K146" s="116" t="str">
        <f t="shared" ref="K146:K211" si="17">IFS(F146=H146+2,3,F146=H146-2,0,F146=H146+1,2,F146=H146-1,1,F146="","")</f>
        <v/>
      </c>
      <c r="L146" s="117" t="str">
        <f t="shared" ref="L146:L211" si="18">IFS(H146=F146+2,3,H146=F146-2,0,H146=F146+1,2,H146=F146-1,1,H146="","")</f>
        <v/>
      </c>
      <c r="M146" s="115"/>
      <c r="N146" s="117">
        <v>1.0</v>
      </c>
      <c r="O146" s="118" t="s">
        <v>31</v>
      </c>
      <c r="P146" s="117">
        <f t="shared" ref="P146:P156" si="19">SUMIF(E$146:E$211,O146,K$146:K$211)+SUMIF(I$146:I$211,O146,L$146:L$211)</f>
        <v>0</v>
      </c>
      <c r="Q146" s="119">
        <f t="shared" ref="Q146:Q156" si="20">COUNTIFS(E$146:E$211,O146,K$146:K$211,2)+COUNTIFS(I$146:I$211,O146,L$146:L$211,2)+COUNTIFS(E$146:E$211,O146,K$146:K$211,3)+COUNTIFS(I$146:I$211,O146,L$146:L$211,3)</f>
        <v>0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0</v>
      </c>
      <c r="U146" s="120">
        <f t="shared" ref="U146:U156" si="23">SUMIF(E$146:E$211,O146,H$146:H$211)+SUMIF(I$146:I$211,O146,F$146:F$211)</f>
        <v>0</v>
      </c>
      <c r="V146" s="117">
        <f t="shared" ref="V146:V156" si="24">T146-U146</f>
        <v>0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Eng. Civil</v>
      </c>
      <c r="AC146" s="21">
        <v>0.0</v>
      </c>
      <c r="AD146" s="21">
        <v>0.0</v>
      </c>
      <c r="AE146" s="22"/>
      <c r="AF146" s="22">
        <v>0.0</v>
      </c>
      <c r="AG146" s="21">
        <v>0.0</v>
      </c>
      <c r="AH146" s="22">
        <v>0.0</v>
      </c>
      <c r="AI146" s="21">
        <v>0.0</v>
      </c>
      <c r="AJ146" s="16"/>
    </row>
    <row r="147" ht="15.75" customHeight="1">
      <c r="A147" s="23"/>
      <c r="B147" s="11">
        <v>45946.0</v>
      </c>
      <c r="C147" s="12" t="s">
        <v>30</v>
      </c>
      <c r="D147" s="12" t="s">
        <v>22</v>
      </c>
      <c r="E147" s="14" t="s">
        <v>117</v>
      </c>
      <c r="F147" s="30"/>
      <c r="G147" s="30" t="s">
        <v>24</v>
      </c>
      <c r="H147" s="30"/>
      <c r="I147" s="14" t="s">
        <v>210</v>
      </c>
      <c r="J147" s="115"/>
      <c r="K147" s="116" t="str">
        <f t="shared" si="17"/>
        <v/>
      </c>
      <c r="L147" s="117" t="str">
        <f t="shared" si="18"/>
        <v/>
      </c>
      <c r="M147" s="115"/>
      <c r="N147" s="117">
        <v>2.0</v>
      </c>
      <c r="O147" s="118" t="s">
        <v>56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56</v>
      </c>
      <c r="AC147" s="21">
        <v>0.0</v>
      </c>
      <c r="AD147" s="21">
        <v>0.0</v>
      </c>
      <c r="AE147" s="22"/>
      <c r="AF147" s="22">
        <v>0.0</v>
      </c>
      <c r="AG147" s="21">
        <v>0.0</v>
      </c>
      <c r="AH147" s="22">
        <v>0.0</v>
      </c>
      <c r="AI147" s="21">
        <v>0.0</v>
      </c>
      <c r="AJ147" s="16"/>
    </row>
    <row r="148" ht="15.75" customHeight="1">
      <c r="A148" s="23"/>
      <c r="B148" s="11">
        <v>45946.0</v>
      </c>
      <c r="C148" s="12" t="s">
        <v>30</v>
      </c>
      <c r="D148" s="12" t="s">
        <v>22</v>
      </c>
      <c r="E148" s="14" t="s">
        <v>64</v>
      </c>
      <c r="F148" s="30"/>
      <c r="G148" s="30" t="s">
        <v>24</v>
      </c>
      <c r="H148" s="30"/>
      <c r="I148" s="14" t="s">
        <v>111</v>
      </c>
      <c r="J148" s="115"/>
      <c r="K148" s="116" t="str">
        <f t="shared" si="17"/>
        <v/>
      </c>
      <c r="L148" s="117" t="str">
        <f t="shared" si="18"/>
        <v/>
      </c>
      <c r="M148" s="115"/>
      <c r="N148" s="117">
        <v>3.0</v>
      </c>
      <c r="O148" s="118" t="s">
        <v>209</v>
      </c>
      <c r="P148" s="117">
        <f t="shared" si="19"/>
        <v>0</v>
      </c>
      <c r="Q148" s="119">
        <f t="shared" si="20"/>
        <v>0</v>
      </c>
      <c r="R148" s="120"/>
      <c r="S148" s="120">
        <f t="shared" si="21"/>
        <v>0</v>
      </c>
      <c r="T148" s="117">
        <f t="shared" si="22"/>
        <v>0</v>
      </c>
      <c r="U148" s="120">
        <f t="shared" si="23"/>
        <v>0</v>
      </c>
      <c r="V148" s="117">
        <f t="shared" si="24"/>
        <v>0</v>
      </c>
      <c r="X148" s="108" t="s">
        <v>40</v>
      </c>
      <c r="Y148" s="108">
        <v>0.0</v>
      </c>
      <c r="AA148" s="20">
        <v>3.0</v>
      </c>
      <c r="AB148" s="63" t="s">
        <v>209</v>
      </c>
      <c r="AC148" s="21">
        <v>0.0</v>
      </c>
      <c r="AD148" s="21">
        <v>0.0</v>
      </c>
      <c r="AE148" s="22"/>
      <c r="AF148" s="22">
        <v>0.0</v>
      </c>
      <c r="AG148" s="21">
        <v>0.0</v>
      </c>
      <c r="AH148" s="22">
        <v>0.0</v>
      </c>
      <c r="AI148" s="21">
        <v>0.0</v>
      </c>
      <c r="AJ148" s="16"/>
    </row>
    <row r="149" ht="15.75" customHeight="1">
      <c r="A149" s="23"/>
      <c r="B149" s="11">
        <v>45946.0</v>
      </c>
      <c r="C149" s="12" t="s">
        <v>35</v>
      </c>
      <c r="D149" s="12" t="s">
        <v>22</v>
      </c>
      <c r="E149" s="14" t="s">
        <v>123</v>
      </c>
      <c r="F149" s="30"/>
      <c r="G149" s="30" t="s">
        <v>24</v>
      </c>
      <c r="H149" s="30"/>
      <c r="I149" s="14" t="s">
        <v>62</v>
      </c>
      <c r="J149" s="115"/>
      <c r="K149" s="116" t="str">
        <f t="shared" si="17"/>
        <v/>
      </c>
      <c r="L149" s="117" t="str">
        <f t="shared" si="18"/>
        <v/>
      </c>
      <c r="M149" s="115"/>
      <c r="N149" s="117">
        <v>4.0</v>
      </c>
      <c r="O149" s="118" t="s">
        <v>45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0</v>
      </c>
      <c r="T149" s="117">
        <f t="shared" si="22"/>
        <v>0</v>
      </c>
      <c r="U149" s="120">
        <f t="shared" si="23"/>
        <v>0</v>
      </c>
      <c r="V149" s="117">
        <f t="shared" si="24"/>
        <v>0</v>
      </c>
      <c r="AA149" s="20">
        <v>4.0</v>
      </c>
      <c r="AB149" s="63" t="s">
        <v>45</v>
      </c>
      <c r="AC149" s="21">
        <v>0.0</v>
      </c>
      <c r="AD149" s="21">
        <v>0.0</v>
      </c>
      <c r="AE149" s="22"/>
      <c r="AF149" s="22">
        <v>0.0</v>
      </c>
      <c r="AG149" s="21">
        <v>0.0</v>
      </c>
      <c r="AH149" s="22">
        <v>0.0</v>
      </c>
      <c r="AI149" s="21">
        <v>0.0</v>
      </c>
      <c r="AJ149" s="16"/>
    </row>
    <row r="150" ht="15.75" customHeight="1">
      <c r="A150" s="23"/>
      <c r="B150" s="11">
        <v>45946.0</v>
      </c>
      <c r="C150" s="12" t="s">
        <v>35</v>
      </c>
      <c r="D150" s="12" t="s">
        <v>22</v>
      </c>
      <c r="E150" s="14" t="s">
        <v>45</v>
      </c>
      <c r="F150" s="13"/>
      <c r="G150" s="30" t="s">
        <v>24</v>
      </c>
      <c r="H150" s="13"/>
      <c r="I150" s="14" t="s">
        <v>60</v>
      </c>
      <c r="J150" s="115"/>
      <c r="K150" s="116" t="str">
        <f t="shared" si="17"/>
        <v/>
      </c>
      <c r="L150" s="117" t="str">
        <f t="shared" si="18"/>
        <v/>
      </c>
      <c r="M150" s="115"/>
      <c r="N150" s="117">
        <v>5.0</v>
      </c>
      <c r="O150" s="118" t="s">
        <v>210</v>
      </c>
      <c r="P150" s="117">
        <f t="shared" si="19"/>
        <v>0</v>
      </c>
      <c r="Q150" s="119">
        <f t="shared" si="20"/>
        <v>0</v>
      </c>
      <c r="R150" s="120"/>
      <c r="S150" s="120">
        <f t="shared" si="21"/>
        <v>0</v>
      </c>
      <c r="T150" s="117">
        <f t="shared" si="22"/>
        <v>0</v>
      </c>
      <c r="U150" s="120">
        <f t="shared" si="23"/>
        <v>0</v>
      </c>
      <c r="V150" s="117">
        <f t="shared" si="24"/>
        <v>0</v>
      </c>
      <c r="AA150" s="20">
        <v>5.0</v>
      </c>
      <c r="AB150" s="63" t="s">
        <v>210</v>
      </c>
      <c r="AC150" s="21">
        <v>0.0</v>
      </c>
      <c r="AD150" s="21">
        <v>0.0</v>
      </c>
      <c r="AE150" s="22"/>
      <c r="AF150" s="22">
        <v>0.0</v>
      </c>
      <c r="AG150" s="21">
        <v>0.0</v>
      </c>
      <c r="AH150" s="22">
        <v>0.0</v>
      </c>
      <c r="AI150" s="21">
        <v>0.0</v>
      </c>
      <c r="AJ150" s="16"/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56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123</v>
      </c>
      <c r="P151" s="117">
        <f t="shared" si="19"/>
        <v>0</v>
      </c>
      <c r="Q151" s="119">
        <f t="shared" si="20"/>
        <v>0</v>
      </c>
      <c r="R151" s="120"/>
      <c r="S151" s="120">
        <f t="shared" si="21"/>
        <v>0</v>
      </c>
      <c r="T151" s="117">
        <f t="shared" si="22"/>
        <v>0</v>
      </c>
      <c r="U151" s="120">
        <f t="shared" si="23"/>
        <v>0</v>
      </c>
      <c r="V151" s="117">
        <f t="shared" si="24"/>
        <v>0</v>
      </c>
      <c r="AA151" s="20">
        <v>6.0</v>
      </c>
      <c r="AB151" s="63" t="s">
        <v>123</v>
      </c>
      <c r="AC151" s="21">
        <v>0.0</v>
      </c>
      <c r="AD151" s="21">
        <v>0.0</v>
      </c>
      <c r="AE151" s="22"/>
      <c r="AF151" s="22">
        <v>0.0</v>
      </c>
      <c r="AG151" s="21">
        <v>0.0</v>
      </c>
      <c r="AH151" s="22">
        <v>0.0</v>
      </c>
      <c r="AI151" s="21">
        <v>0.0</v>
      </c>
      <c r="AJ151" s="16"/>
    </row>
    <row r="152" ht="15.75" customHeight="1">
      <c r="A152" s="58">
        <v>2.0</v>
      </c>
      <c r="B152" s="124"/>
      <c r="C152" s="129"/>
      <c r="D152" s="125"/>
      <c r="E152" s="14" t="s">
        <v>209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111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0</v>
      </c>
      <c r="T152" s="117">
        <f t="shared" si="22"/>
        <v>0</v>
      </c>
      <c r="U152" s="120">
        <f t="shared" si="23"/>
        <v>0</v>
      </c>
      <c r="V152" s="117">
        <f t="shared" si="24"/>
        <v>0</v>
      </c>
      <c r="AA152" s="20">
        <v>7.0</v>
      </c>
      <c r="AB152" s="63" t="s">
        <v>111</v>
      </c>
      <c r="AC152" s="21">
        <v>0.0</v>
      </c>
      <c r="AD152" s="21">
        <v>0.0</v>
      </c>
      <c r="AE152" s="22"/>
      <c r="AF152" s="22">
        <v>0.0</v>
      </c>
      <c r="AG152" s="21">
        <v>0.0</v>
      </c>
      <c r="AH152" s="22">
        <v>0.0</v>
      </c>
      <c r="AI152" s="21">
        <v>0.0</v>
      </c>
      <c r="AJ152" s="16"/>
    </row>
    <row r="153" ht="15.75" customHeight="1">
      <c r="A153" s="23"/>
      <c r="B153" s="11">
        <v>45946.0</v>
      </c>
      <c r="C153" s="12" t="s">
        <v>35</v>
      </c>
      <c r="D153" s="12" t="s">
        <v>22</v>
      </c>
      <c r="E153" s="14" t="s">
        <v>210</v>
      </c>
      <c r="F153" s="30"/>
      <c r="G153" s="30" t="s">
        <v>24</v>
      </c>
      <c r="H153" s="30"/>
      <c r="I153" s="14" t="s">
        <v>31</v>
      </c>
      <c r="J153" s="115"/>
      <c r="K153" s="116" t="str">
        <f t="shared" si="17"/>
        <v/>
      </c>
      <c r="L153" s="117" t="str">
        <f t="shared" si="18"/>
        <v/>
      </c>
      <c r="M153" s="115"/>
      <c r="N153" s="117">
        <v>8.0</v>
      </c>
      <c r="O153" s="118" t="s">
        <v>64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0</v>
      </c>
      <c r="T153" s="117">
        <f t="shared" si="22"/>
        <v>0</v>
      </c>
      <c r="U153" s="120">
        <f t="shared" si="23"/>
        <v>0</v>
      </c>
      <c r="V153" s="117">
        <f t="shared" si="24"/>
        <v>0</v>
      </c>
      <c r="AA153" s="20">
        <v>8.0</v>
      </c>
      <c r="AB153" s="63" t="s">
        <v>64</v>
      </c>
      <c r="AC153" s="21">
        <v>0.0</v>
      </c>
      <c r="AD153" s="21">
        <v>0.0</v>
      </c>
      <c r="AE153" s="22"/>
      <c r="AF153" s="22">
        <v>0.0</v>
      </c>
      <c r="AG153" s="21">
        <v>0.0</v>
      </c>
      <c r="AH153" s="22">
        <v>0.0</v>
      </c>
      <c r="AI153" s="21">
        <v>0.0</v>
      </c>
      <c r="AJ153" s="16"/>
    </row>
    <row r="154" ht="15.75" customHeight="1">
      <c r="A154" s="23"/>
      <c r="B154" s="11">
        <v>45958.0</v>
      </c>
      <c r="C154" s="12" t="s">
        <v>53</v>
      </c>
      <c r="D154" s="12" t="s">
        <v>22</v>
      </c>
      <c r="E154" s="14" t="s">
        <v>111</v>
      </c>
      <c r="F154" s="30"/>
      <c r="G154" s="30" t="s">
        <v>24</v>
      </c>
      <c r="H154" s="30"/>
      <c r="I154" s="14" t="s">
        <v>117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62</v>
      </c>
      <c r="P154" s="117">
        <f t="shared" si="19"/>
        <v>0</v>
      </c>
      <c r="Q154" s="119">
        <f t="shared" si="20"/>
        <v>0</v>
      </c>
      <c r="R154" s="120"/>
      <c r="S154" s="120">
        <f t="shared" si="21"/>
        <v>0</v>
      </c>
      <c r="T154" s="117">
        <f t="shared" si="22"/>
        <v>0</v>
      </c>
      <c r="U154" s="120">
        <f t="shared" si="23"/>
        <v>0</v>
      </c>
      <c r="V154" s="117">
        <f t="shared" si="24"/>
        <v>0</v>
      </c>
      <c r="AA154" s="20">
        <v>9.0</v>
      </c>
      <c r="AB154" s="63" t="s">
        <v>62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  <c r="AJ154" s="16"/>
    </row>
    <row r="155" ht="15.75" customHeight="1">
      <c r="A155" s="23"/>
      <c r="B155" s="11">
        <v>45958.0</v>
      </c>
      <c r="C155" s="12" t="s">
        <v>53</v>
      </c>
      <c r="D155" s="12" t="s">
        <v>22</v>
      </c>
      <c r="E155" s="14" t="s">
        <v>62</v>
      </c>
      <c r="F155" s="30"/>
      <c r="G155" s="30" t="s">
        <v>24</v>
      </c>
      <c r="H155" s="30"/>
      <c r="I155" s="14" t="s">
        <v>64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117</v>
      </c>
      <c r="P155" s="117">
        <f t="shared" si="19"/>
        <v>0</v>
      </c>
      <c r="Q155" s="119">
        <f t="shared" si="20"/>
        <v>0</v>
      </c>
      <c r="R155" s="120"/>
      <c r="S155" s="120">
        <f t="shared" si="21"/>
        <v>0</v>
      </c>
      <c r="T155" s="117">
        <f t="shared" si="22"/>
        <v>0</v>
      </c>
      <c r="U155" s="120">
        <f t="shared" si="23"/>
        <v>0</v>
      </c>
      <c r="V155" s="117">
        <f t="shared" si="24"/>
        <v>0</v>
      </c>
      <c r="AA155" s="20">
        <v>10.0</v>
      </c>
      <c r="AB155" s="63" t="s">
        <v>117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  <c r="AJ155" s="3"/>
    </row>
    <row r="156" ht="15.75" customHeight="1">
      <c r="A156" s="23"/>
      <c r="B156" s="11">
        <v>45958.0</v>
      </c>
      <c r="C156" s="12" t="s">
        <v>53</v>
      </c>
      <c r="D156" s="12" t="s">
        <v>22</v>
      </c>
      <c r="E156" s="14" t="s">
        <v>60</v>
      </c>
      <c r="F156" s="30"/>
      <c r="G156" s="30" t="s">
        <v>24</v>
      </c>
      <c r="H156" s="30"/>
      <c r="I156" s="14" t="s">
        <v>123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60</v>
      </c>
      <c r="P156" s="117">
        <f t="shared" si="19"/>
        <v>0</v>
      </c>
      <c r="Q156" s="119">
        <f t="shared" si="20"/>
        <v>0</v>
      </c>
      <c r="S156" s="120">
        <f t="shared" si="21"/>
        <v>0</v>
      </c>
      <c r="T156" s="117">
        <f t="shared" si="22"/>
        <v>0</v>
      </c>
      <c r="U156" s="120">
        <f t="shared" si="23"/>
        <v>0</v>
      </c>
      <c r="V156" s="117">
        <f t="shared" si="24"/>
        <v>0</v>
      </c>
      <c r="AA156" s="48">
        <v>11.0</v>
      </c>
      <c r="AB156" s="63" t="s">
        <v>60</v>
      </c>
      <c r="AC156" s="21">
        <v>0.0</v>
      </c>
      <c r="AD156" s="21">
        <v>0.0</v>
      </c>
      <c r="AE156" s="22"/>
      <c r="AF156" s="22">
        <v>0.0</v>
      </c>
      <c r="AG156" s="21">
        <v>0.0</v>
      </c>
      <c r="AH156" s="22">
        <v>0.0</v>
      </c>
      <c r="AI156" s="21">
        <v>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30"/>
      <c r="G157" s="30" t="s">
        <v>24</v>
      </c>
      <c r="H157" s="30"/>
      <c r="I157" s="14" t="s">
        <v>45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30"/>
      <c r="G158" s="30" t="s">
        <v>24</v>
      </c>
      <c r="H158" s="30"/>
      <c r="I158" s="14" t="s">
        <v>210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3"/>
      <c r="B159" s="11">
        <v>45958.0</v>
      </c>
      <c r="C159" s="12" t="s">
        <v>21</v>
      </c>
      <c r="D159" s="12" t="s">
        <v>22</v>
      </c>
      <c r="E159" s="14" t="s">
        <v>31</v>
      </c>
      <c r="F159" s="30"/>
      <c r="G159" s="30" t="s">
        <v>24</v>
      </c>
      <c r="H159" s="30"/>
      <c r="I159" s="14" t="s">
        <v>111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  <c r="AJ159" s="3"/>
    </row>
    <row r="160" ht="15.75" customHeight="1">
      <c r="A160" s="23"/>
      <c r="B160" s="124"/>
      <c r="C160" s="125"/>
      <c r="D160" s="125"/>
      <c r="E160" s="14" t="s">
        <v>117</v>
      </c>
      <c r="F160" s="30"/>
      <c r="G160" s="30" t="s">
        <v>24</v>
      </c>
      <c r="H160" s="30"/>
      <c r="I160" s="14" t="s">
        <v>62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  <c r="AJ160" s="3"/>
    </row>
    <row r="161" ht="15.75" customHeight="1">
      <c r="A161" s="23"/>
      <c r="B161" s="124"/>
      <c r="C161" s="125"/>
      <c r="D161" s="125"/>
      <c r="E161" s="14" t="s">
        <v>64</v>
      </c>
      <c r="F161" s="30"/>
      <c r="G161" s="30" t="s">
        <v>24</v>
      </c>
      <c r="H161" s="30"/>
      <c r="I161" s="14" t="s">
        <v>60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  <c r="AJ161" s="3"/>
    </row>
    <row r="162" ht="15.75" customHeight="1">
      <c r="A162" s="23"/>
      <c r="B162" s="124"/>
      <c r="C162" s="125"/>
      <c r="D162" s="125"/>
      <c r="E162" s="14" t="s">
        <v>123</v>
      </c>
      <c r="F162" s="30"/>
      <c r="G162" s="30" t="s">
        <v>24</v>
      </c>
      <c r="H162" s="30"/>
      <c r="I162" s="14" t="s">
        <v>56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  <c r="AJ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45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  <c r="AJ163" s="3"/>
    </row>
    <row r="164" ht="15.75" customHeight="1">
      <c r="A164" s="134">
        <v>4.0</v>
      </c>
      <c r="B164" s="124"/>
      <c r="C164" s="125"/>
      <c r="D164" s="125"/>
      <c r="E164" s="14" t="s">
        <v>210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  <c r="AJ164" s="3"/>
    </row>
    <row r="165" ht="15.75" customHeight="1">
      <c r="A165" s="23"/>
      <c r="B165" s="124"/>
      <c r="C165" s="125"/>
      <c r="D165" s="125"/>
      <c r="E165" s="14" t="s">
        <v>111</v>
      </c>
      <c r="F165" s="30"/>
      <c r="G165" s="30" t="s">
        <v>24</v>
      </c>
      <c r="H165" s="30"/>
      <c r="I165" s="14" t="s">
        <v>209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  <c r="AJ165" s="3"/>
    </row>
    <row r="166" ht="15.75" customHeight="1">
      <c r="A166" s="23"/>
      <c r="B166" s="124"/>
      <c r="C166" s="125"/>
      <c r="D166" s="125"/>
      <c r="E166" s="14" t="s">
        <v>62</v>
      </c>
      <c r="F166" s="30"/>
      <c r="G166" s="30" t="s">
        <v>24</v>
      </c>
      <c r="H166" s="30"/>
      <c r="I166" s="14" t="s">
        <v>31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  <c r="AJ166" s="3"/>
    </row>
    <row r="167" ht="15.75" customHeight="1">
      <c r="A167" s="23"/>
      <c r="B167" s="124"/>
      <c r="C167" s="125"/>
      <c r="D167" s="125"/>
      <c r="E167" s="14" t="s">
        <v>60</v>
      </c>
      <c r="F167" s="30"/>
      <c r="G167" s="30" t="s">
        <v>24</v>
      </c>
      <c r="H167" s="30"/>
      <c r="I167" s="14" t="s">
        <v>117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3"/>
      <c r="B168" s="124"/>
      <c r="C168" s="125"/>
      <c r="D168" s="125"/>
      <c r="E168" s="14" t="s">
        <v>56</v>
      </c>
      <c r="F168" s="30"/>
      <c r="G168" s="30" t="s">
        <v>24</v>
      </c>
      <c r="H168" s="30"/>
      <c r="I168" s="14" t="s">
        <v>64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3"/>
      <c r="B169" s="124"/>
      <c r="C169" s="125"/>
      <c r="D169" s="125"/>
      <c r="E169" s="14" t="s">
        <v>45</v>
      </c>
      <c r="F169" s="30"/>
      <c r="G169" s="30" t="s">
        <v>24</v>
      </c>
      <c r="H169" s="30"/>
      <c r="I169" s="14" t="s">
        <v>123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4"/>
      <c r="C170" s="125"/>
      <c r="D170" s="125"/>
      <c r="E170" s="14" t="s">
        <v>210</v>
      </c>
      <c r="F170" s="30"/>
      <c r="G170" s="30" t="s">
        <v>24</v>
      </c>
      <c r="H170" s="30"/>
      <c r="I170" s="14" t="s">
        <v>111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3"/>
      <c r="B171" s="124"/>
      <c r="C171" s="125"/>
      <c r="D171" s="125"/>
      <c r="E171" s="14" t="s">
        <v>209</v>
      </c>
      <c r="F171" s="125"/>
      <c r="G171" s="30" t="s">
        <v>24</v>
      </c>
      <c r="H171" s="30"/>
      <c r="I171" s="14" t="s">
        <v>62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3"/>
      <c r="B172" s="124"/>
      <c r="C172" s="125"/>
      <c r="D172" s="125"/>
      <c r="E172" s="14" t="s">
        <v>31</v>
      </c>
      <c r="F172" s="125"/>
      <c r="G172" s="30" t="s">
        <v>24</v>
      </c>
      <c r="H172" s="30"/>
      <c r="I172" s="14" t="s">
        <v>60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3"/>
      <c r="B173" s="124"/>
      <c r="C173" s="125"/>
      <c r="D173" s="125"/>
      <c r="E173" s="14" t="s">
        <v>117</v>
      </c>
      <c r="F173" s="125"/>
      <c r="G173" s="30" t="s">
        <v>24</v>
      </c>
      <c r="H173" s="30"/>
      <c r="I173" s="14" t="s">
        <v>56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3"/>
      <c r="B174" s="124"/>
      <c r="C174" s="125"/>
      <c r="D174" s="125"/>
      <c r="E174" s="14" t="s">
        <v>64</v>
      </c>
      <c r="F174" s="125"/>
      <c r="G174" s="30" t="s">
        <v>24</v>
      </c>
      <c r="H174" s="30"/>
      <c r="I174" s="14" t="s">
        <v>45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123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4"/>
      <c r="C176" s="129"/>
      <c r="D176" s="125"/>
      <c r="E176" s="14" t="s">
        <v>111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3"/>
      <c r="B177" s="124"/>
      <c r="C177" s="125"/>
      <c r="D177" s="125"/>
      <c r="E177" s="14" t="s">
        <v>62</v>
      </c>
      <c r="F177" s="30"/>
      <c r="G177" s="30" t="s">
        <v>24</v>
      </c>
      <c r="H177" s="30"/>
      <c r="I177" s="14" t="s">
        <v>210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3"/>
      <c r="B178" s="124"/>
      <c r="C178" s="125"/>
      <c r="D178" s="125"/>
      <c r="E178" s="14" t="s">
        <v>60</v>
      </c>
      <c r="F178" s="30"/>
      <c r="G178" s="30" t="s">
        <v>24</v>
      </c>
      <c r="H178" s="30"/>
      <c r="I178" s="14" t="s">
        <v>209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3"/>
      <c r="B179" s="124"/>
      <c r="C179" s="129"/>
      <c r="D179" s="125"/>
      <c r="E179" s="14" t="s">
        <v>56</v>
      </c>
      <c r="F179" s="30"/>
      <c r="G179" s="30" t="s">
        <v>24</v>
      </c>
      <c r="H179" s="30"/>
      <c r="I179" s="14" t="s">
        <v>31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3"/>
      <c r="B180" s="124"/>
      <c r="C180" s="125"/>
      <c r="D180" s="125"/>
      <c r="E180" s="14" t="s">
        <v>45</v>
      </c>
      <c r="F180" s="30"/>
      <c r="G180" s="30" t="s">
        <v>24</v>
      </c>
      <c r="H180" s="30"/>
      <c r="I180" s="14" t="s">
        <v>117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4"/>
      <c r="C181" s="125"/>
      <c r="D181" s="125"/>
      <c r="E181" s="14" t="s">
        <v>123</v>
      </c>
      <c r="F181" s="30"/>
      <c r="G181" s="30" t="s">
        <v>24</v>
      </c>
      <c r="H181" s="30"/>
      <c r="I181" s="14" t="s">
        <v>64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4"/>
      <c r="C182" s="129"/>
      <c r="D182" s="125"/>
      <c r="E182" s="14" t="s">
        <v>111</v>
      </c>
      <c r="F182" s="30"/>
      <c r="G182" s="30" t="s">
        <v>24</v>
      </c>
      <c r="H182" s="30"/>
      <c r="I182" s="14" t="s">
        <v>62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3"/>
      <c r="B183" s="124"/>
      <c r="C183" s="129"/>
      <c r="D183" s="125"/>
      <c r="E183" s="14" t="s">
        <v>210</v>
      </c>
      <c r="F183" s="30"/>
      <c r="G183" s="30" t="s">
        <v>24</v>
      </c>
      <c r="H183" s="30"/>
      <c r="I183" s="14" t="s">
        <v>60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3"/>
      <c r="B184" s="124"/>
      <c r="C184" s="129"/>
      <c r="D184" s="125"/>
      <c r="E184" s="14" t="s">
        <v>209</v>
      </c>
      <c r="F184" s="30"/>
      <c r="G184" s="30" t="s">
        <v>24</v>
      </c>
      <c r="H184" s="30"/>
      <c r="I184" s="14" t="s">
        <v>56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3"/>
      <c r="B185" s="124"/>
      <c r="C185" s="129"/>
      <c r="D185" s="125"/>
      <c r="E185" s="14" t="s">
        <v>31</v>
      </c>
      <c r="F185" s="30"/>
      <c r="G185" s="30" t="s">
        <v>24</v>
      </c>
      <c r="H185" s="30"/>
      <c r="I185" s="14" t="s">
        <v>45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3"/>
      <c r="B186" s="124"/>
      <c r="C186" s="125"/>
      <c r="D186" s="125"/>
      <c r="E186" s="14" t="s">
        <v>117</v>
      </c>
      <c r="F186" s="30"/>
      <c r="G186" s="30" t="s">
        <v>24</v>
      </c>
      <c r="H186" s="30"/>
      <c r="I186" s="14" t="s">
        <v>123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64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4"/>
      <c r="C188" s="129"/>
      <c r="D188" s="125"/>
      <c r="E188" s="14" t="s">
        <v>62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3"/>
      <c r="B189" s="124"/>
      <c r="C189" s="129"/>
      <c r="D189" s="125"/>
      <c r="E189" s="14" t="s">
        <v>60</v>
      </c>
      <c r="F189" s="30"/>
      <c r="G189" s="30" t="s">
        <v>24</v>
      </c>
      <c r="H189" s="30"/>
      <c r="I189" s="14" t="s">
        <v>111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3"/>
      <c r="B190" s="124"/>
      <c r="C190" s="129"/>
      <c r="D190" s="125"/>
      <c r="E190" s="14" t="s">
        <v>56</v>
      </c>
      <c r="F190" s="30"/>
      <c r="G190" s="30" t="s">
        <v>24</v>
      </c>
      <c r="H190" s="30"/>
      <c r="I190" s="14" t="s">
        <v>210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3"/>
      <c r="B191" s="124"/>
      <c r="C191" s="129"/>
      <c r="D191" s="125"/>
      <c r="E191" s="14" t="s">
        <v>45</v>
      </c>
      <c r="F191" s="30"/>
      <c r="G191" s="30" t="s">
        <v>24</v>
      </c>
      <c r="H191" s="30"/>
      <c r="I191" s="14" t="s">
        <v>209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3"/>
      <c r="B192" s="124"/>
      <c r="C192" s="125"/>
      <c r="D192" s="125"/>
      <c r="E192" s="14" t="s">
        <v>123</v>
      </c>
      <c r="F192" s="30"/>
      <c r="G192" s="30" t="s">
        <v>24</v>
      </c>
      <c r="H192" s="30"/>
      <c r="I192" s="14" t="s">
        <v>31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4"/>
      <c r="C193" s="125"/>
      <c r="D193" s="125"/>
      <c r="E193" s="14" t="s">
        <v>64</v>
      </c>
      <c r="F193" s="30"/>
      <c r="G193" s="30" t="s">
        <v>24</v>
      </c>
      <c r="H193" s="30"/>
      <c r="I193" s="14" t="s">
        <v>117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4"/>
      <c r="C194" s="129"/>
      <c r="D194" s="125"/>
      <c r="E194" s="14" t="s">
        <v>62</v>
      </c>
      <c r="F194" s="30"/>
      <c r="G194" s="30" t="s">
        <v>24</v>
      </c>
      <c r="H194" s="30"/>
      <c r="I194" s="14" t="s">
        <v>60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3"/>
      <c r="B195" s="124"/>
      <c r="C195" s="129"/>
      <c r="D195" s="125"/>
      <c r="E195" s="14" t="s">
        <v>111</v>
      </c>
      <c r="F195" s="30"/>
      <c r="G195" s="30" t="s">
        <v>24</v>
      </c>
      <c r="H195" s="30"/>
      <c r="I195" s="14" t="s">
        <v>56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3"/>
      <c r="B196" s="124"/>
      <c r="C196" s="129"/>
      <c r="D196" s="125"/>
      <c r="E196" s="14" t="s">
        <v>210</v>
      </c>
      <c r="F196" s="30"/>
      <c r="G196" s="30" t="s">
        <v>24</v>
      </c>
      <c r="H196" s="30"/>
      <c r="I196" s="14" t="s">
        <v>45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3"/>
      <c r="B197" s="124"/>
      <c r="C197" s="129"/>
      <c r="D197" s="125"/>
      <c r="E197" s="14" t="s">
        <v>209</v>
      </c>
      <c r="F197" s="30"/>
      <c r="G197" s="30" t="s">
        <v>24</v>
      </c>
      <c r="H197" s="30"/>
      <c r="I197" s="14" t="s">
        <v>123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3"/>
      <c r="B198" s="124"/>
      <c r="C198" s="125"/>
      <c r="D198" s="125"/>
      <c r="E198" s="14" t="s">
        <v>31</v>
      </c>
      <c r="F198" s="30"/>
      <c r="G198" s="30" t="s">
        <v>24</v>
      </c>
      <c r="H198" s="30"/>
      <c r="I198" s="14" t="s">
        <v>64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117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60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3"/>
      <c r="B201" s="124"/>
      <c r="C201" s="129"/>
      <c r="D201" s="125"/>
      <c r="E201" s="14" t="s">
        <v>56</v>
      </c>
      <c r="F201" s="30"/>
      <c r="G201" s="30" t="s">
        <v>24</v>
      </c>
      <c r="H201" s="30"/>
      <c r="I201" s="14" t="s">
        <v>62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3"/>
      <c r="B202" s="124"/>
      <c r="C202" s="129"/>
      <c r="D202" s="125"/>
      <c r="E202" s="14" t="s">
        <v>45</v>
      </c>
      <c r="F202" s="30"/>
      <c r="G202" s="30" t="s">
        <v>24</v>
      </c>
      <c r="H202" s="30"/>
      <c r="I202" s="14" t="s">
        <v>111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3"/>
      <c r="B203" s="124"/>
      <c r="C203" s="129"/>
      <c r="D203" s="125"/>
      <c r="E203" s="14" t="s">
        <v>123</v>
      </c>
      <c r="F203" s="30"/>
      <c r="G203" s="30" t="s">
        <v>24</v>
      </c>
      <c r="H203" s="30"/>
      <c r="I203" s="14" t="s">
        <v>210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3"/>
      <c r="B204" s="124"/>
      <c r="C204" s="125"/>
      <c r="D204" s="125"/>
      <c r="E204" s="14" t="s">
        <v>64</v>
      </c>
      <c r="F204" s="30"/>
      <c r="G204" s="30" t="s">
        <v>24</v>
      </c>
      <c r="H204" s="30"/>
      <c r="I204" s="14" t="s">
        <v>209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4"/>
      <c r="C205" s="125"/>
      <c r="D205" s="125"/>
      <c r="E205" s="14" t="s">
        <v>117</v>
      </c>
      <c r="F205" s="30"/>
      <c r="G205" s="30" t="s">
        <v>24</v>
      </c>
      <c r="H205" s="30"/>
      <c r="I205" s="14" t="s">
        <v>31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4"/>
      <c r="C206" s="129"/>
      <c r="D206" s="125"/>
      <c r="E206" s="14" t="s">
        <v>60</v>
      </c>
      <c r="F206" s="13"/>
      <c r="G206" s="30" t="s">
        <v>24</v>
      </c>
      <c r="H206" s="13"/>
      <c r="I206" s="14" t="s">
        <v>56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3"/>
      <c r="B207" s="124"/>
      <c r="C207" s="129"/>
      <c r="D207" s="125"/>
      <c r="E207" s="14" t="s">
        <v>62</v>
      </c>
      <c r="F207" s="30"/>
      <c r="G207" s="30" t="s">
        <v>24</v>
      </c>
      <c r="H207" s="30"/>
      <c r="I207" s="14" t="s">
        <v>45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3"/>
      <c r="B208" s="124"/>
      <c r="C208" s="129"/>
      <c r="D208" s="125"/>
      <c r="E208" s="14" t="s">
        <v>111</v>
      </c>
      <c r="F208" s="30"/>
      <c r="G208" s="30" t="s">
        <v>24</v>
      </c>
      <c r="H208" s="30"/>
      <c r="I208" s="14" t="s">
        <v>123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3"/>
      <c r="B209" s="124"/>
      <c r="C209" s="129"/>
      <c r="D209" s="125"/>
      <c r="E209" s="14" t="s">
        <v>210</v>
      </c>
      <c r="F209" s="30"/>
      <c r="G209" s="30" t="s">
        <v>24</v>
      </c>
      <c r="H209" s="30"/>
      <c r="I209" s="14" t="s">
        <v>64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3"/>
      <c r="B210" s="124"/>
      <c r="C210" s="125"/>
      <c r="D210" s="125"/>
      <c r="E210" s="14" t="s">
        <v>209</v>
      </c>
      <c r="F210" s="13"/>
      <c r="G210" s="30" t="s">
        <v>24</v>
      </c>
      <c r="H210" s="13"/>
      <c r="I210" s="14" t="s">
        <v>117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4"/>
      <c r="C211" s="125"/>
      <c r="D211" s="125"/>
      <c r="E211" s="14" t="s">
        <v>31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0"/>
      <c r="E235" s="114"/>
      <c r="I235" s="114"/>
      <c r="AA235" s="3"/>
      <c r="AB235" s="114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3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219</v>
      </c>
      <c r="G1" s="144" t="s">
        <v>220</v>
      </c>
      <c r="H1" s="144" t="s">
        <v>221</v>
      </c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ht="15.75" customHeight="1">
      <c r="A2" s="146" t="s">
        <v>222</v>
      </c>
      <c r="B2" s="147" t="s">
        <v>223</v>
      </c>
      <c r="C2" s="148" t="s">
        <v>31</v>
      </c>
      <c r="D2" s="148" t="s">
        <v>224</v>
      </c>
      <c r="E2" s="149">
        <v>108125.0</v>
      </c>
      <c r="F2" s="150" t="s">
        <v>225</v>
      </c>
      <c r="G2" s="147" t="s">
        <v>226</v>
      </c>
      <c r="H2" s="148" t="s">
        <v>227</v>
      </c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ht="15.75" customHeight="1">
      <c r="A3" s="146" t="s">
        <v>222</v>
      </c>
      <c r="B3" s="147" t="s">
        <v>228</v>
      </c>
      <c r="C3" s="147" t="s">
        <v>32</v>
      </c>
      <c r="D3" s="147" t="s">
        <v>229</v>
      </c>
      <c r="E3" s="151">
        <v>89159.0</v>
      </c>
      <c r="F3" s="152" t="s">
        <v>230</v>
      </c>
      <c r="G3" s="147" t="s">
        <v>226</v>
      </c>
      <c r="H3" s="147" t="s">
        <v>231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ht="15.75" customHeight="1">
      <c r="A4" s="146" t="s">
        <v>222</v>
      </c>
      <c r="B4" s="147" t="s">
        <v>232</v>
      </c>
      <c r="C4" s="147" t="s">
        <v>111</v>
      </c>
      <c r="D4" s="147" t="s">
        <v>233</v>
      </c>
      <c r="E4" s="151">
        <v>100096.0</v>
      </c>
      <c r="F4" s="152" t="s">
        <v>234</v>
      </c>
      <c r="G4" s="147" t="s">
        <v>226</v>
      </c>
      <c r="H4" s="147" t="s">
        <v>235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ht="15.75" customHeight="1">
      <c r="A5" s="146" t="s">
        <v>222</v>
      </c>
      <c r="B5" s="147" t="s">
        <v>236</v>
      </c>
      <c r="C5" s="147" t="s">
        <v>55</v>
      </c>
      <c r="D5" s="147" t="s">
        <v>237</v>
      </c>
      <c r="E5" s="151">
        <v>108498.0</v>
      </c>
      <c r="F5" s="152" t="s">
        <v>238</v>
      </c>
      <c r="G5" s="147" t="s">
        <v>226</v>
      </c>
      <c r="H5" s="147" t="s">
        <v>239</v>
      </c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ht="15.75" customHeight="1">
      <c r="A6" s="146" t="s">
        <v>222</v>
      </c>
      <c r="B6" s="147" t="s">
        <v>240</v>
      </c>
      <c r="C6" s="147" t="s">
        <v>63</v>
      </c>
      <c r="D6" s="147" t="s">
        <v>241</v>
      </c>
      <c r="E6" s="151">
        <v>110713.0</v>
      </c>
      <c r="F6" s="152" t="s">
        <v>234</v>
      </c>
      <c r="G6" s="147" t="s">
        <v>226</v>
      </c>
      <c r="H6" s="147" t="s">
        <v>242</v>
      </c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ht="15.75" customHeight="1">
      <c r="A7" s="146" t="s">
        <v>222</v>
      </c>
      <c r="B7" s="147" t="s">
        <v>243</v>
      </c>
      <c r="C7" s="147" t="s">
        <v>59</v>
      </c>
      <c r="D7" s="147" t="s">
        <v>244</v>
      </c>
      <c r="E7" s="151">
        <v>108196.0</v>
      </c>
      <c r="F7" s="152" t="s">
        <v>238</v>
      </c>
      <c r="G7" s="147" t="s">
        <v>226</v>
      </c>
      <c r="H7" s="147" t="s">
        <v>239</v>
      </c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ht="15.75" customHeight="1">
      <c r="A8" s="146" t="s">
        <v>245</v>
      </c>
      <c r="B8" s="147" t="s">
        <v>246</v>
      </c>
      <c r="C8" s="147" t="s">
        <v>144</v>
      </c>
      <c r="D8" s="147" t="s">
        <v>247</v>
      </c>
      <c r="E8" s="151">
        <v>103269.0</v>
      </c>
      <c r="F8" s="152" t="s">
        <v>238</v>
      </c>
      <c r="G8" s="147" t="s">
        <v>226</v>
      </c>
      <c r="H8" s="147" t="s">
        <v>239</v>
      </c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ht="15.75" customHeight="1">
      <c r="A9" s="146" t="s">
        <v>222</v>
      </c>
      <c r="B9" s="147" t="s">
        <v>248</v>
      </c>
      <c r="C9" s="147" t="s">
        <v>40</v>
      </c>
      <c r="D9" s="147" t="s">
        <v>249</v>
      </c>
      <c r="E9" s="151">
        <v>109271.0</v>
      </c>
      <c r="F9" s="152" t="s">
        <v>238</v>
      </c>
      <c r="G9" s="147" t="s">
        <v>250</v>
      </c>
      <c r="H9" s="147" t="s">
        <v>251</v>
      </c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ht="15.75" customHeight="1">
      <c r="A10" s="146" t="s">
        <v>222</v>
      </c>
      <c r="B10" s="147" t="s">
        <v>252</v>
      </c>
      <c r="C10" s="147" t="s">
        <v>121</v>
      </c>
      <c r="D10" s="147" t="s">
        <v>253</v>
      </c>
      <c r="E10" s="151">
        <v>108249.0</v>
      </c>
      <c r="F10" s="152" t="s">
        <v>238</v>
      </c>
      <c r="G10" s="147" t="s">
        <v>250</v>
      </c>
      <c r="H10" s="147" t="s">
        <v>251</v>
      </c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ht="15.75" customHeight="1">
      <c r="A11" s="146" t="s">
        <v>222</v>
      </c>
      <c r="B11" s="147" t="s">
        <v>254</v>
      </c>
      <c r="C11" s="147" t="s">
        <v>39</v>
      </c>
      <c r="D11" s="147" t="s">
        <v>255</v>
      </c>
      <c r="E11" s="151">
        <v>103583.0</v>
      </c>
      <c r="F11" s="152" t="s">
        <v>238</v>
      </c>
      <c r="G11" s="147" t="s">
        <v>250</v>
      </c>
      <c r="H11" s="147" t="s">
        <v>256</v>
      </c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ht="15.75" customHeight="1">
      <c r="A12" s="146" t="s">
        <v>222</v>
      </c>
      <c r="B12" s="147" t="s">
        <v>254</v>
      </c>
      <c r="C12" s="147" t="s">
        <v>39</v>
      </c>
      <c r="D12" s="147" t="s">
        <v>257</v>
      </c>
      <c r="E12" s="151">
        <v>93245.0</v>
      </c>
      <c r="F12" s="153" t="s">
        <v>258</v>
      </c>
      <c r="G12" s="154">
        <v>44870.0</v>
      </c>
      <c r="H12" s="15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