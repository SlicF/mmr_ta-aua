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<sst xmlns="http://schemas.openxmlformats.org/spreadsheetml/2006/main" count="5559" uniqueCount="264">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</sst>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2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2</v>
      </c>
      <c r="T3" s="17">
        <f t="shared" ref="T3:T13" si="7">SUMIF(E$3:E$68,O3,F$3:F$68)+SUMIF(I$3:I$68,O3,H$3:H$68)</f>
        <v>24</v>
      </c>
      <c r="U3" s="19">
        <f t="shared" ref="U3:U13" si="8">SUMIF(E$3:E$68,O3,H$3:H$68)+SUMIF(I$3:I$68,O3,F$3:F$68)</f>
        <v>64</v>
      </c>
      <c r="V3" s="17">
        <f t="shared" ref="V3:V13" si="9">T3-U3</f>
        <v>-40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6.0</v>
      </c>
      <c r="AH3" s="22">
        <v>2.0</v>
      </c>
      <c r="AI3" s="23">
        <v>0.0</v>
      </c>
      <c r="AJ3" s="22">
        <v>0.0</v>
      </c>
      <c r="AK3" s="22">
        <v>47.0</v>
      </c>
      <c r="AL3" s="23">
        <v>30.0</v>
      </c>
      <c r="AM3" s="22">
        <v>17.0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6.0</v>
      </c>
      <c r="AH4" s="22">
        <v>2.0</v>
      </c>
      <c r="AI4" s="23">
        <v>0.0</v>
      </c>
      <c r="AJ4" s="22">
        <v>0.0</v>
      </c>
      <c r="AK4" s="22">
        <v>49.0</v>
      </c>
      <c r="AL4" s="23">
        <v>39.0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33</v>
      </c>
      <c r="AG5" s="22">
        <v>5.0</v>
      </c>
      <c r="AH5" s="22">
        <v>1.0</v>
      </c>
      <c r="AI5" s="23">
        <v>1.0</v>
      </c>
      <c r="AJ5" s="22">
        <v>0.0</v>
      </c>
      <c r="AK5" s="22">
        <v>31.0</v>
      </c>
      <c r="AL5" s="23">
        <v>29.0</v>
      </c>
      <c r="AM5" s="22">
        <v>2.0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1</v>
      </c>
      <c r="R6" s="19">
        <f t="shared" si="5"/>
        <v>0</v>
      </c>
      <c r="S6" s="19">
        <f t="shared" si="6"/>
        <v>1</v>
      </c>
      <c r="T6" s="17">
        <f t="shared" si="7"/>
        <v>46</v>
      </c>
      <c r="U6" s="19">
        <f t="shared" si="8"/>
        <v>39</v>
      </c>
      <c r="V6" s="17">
        <f t="shared" si="9"/>
        <v>7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31</v>
      </c>
      <c r="AG6" s="22">
        <v>4.0</v>
      </c>
      <c r="AH6" s="22">
        <v>1.0</v>
      </c>
      <c r="AI6" s="23">
        <v>0.0</v>
      </c>
      <c r="AJ6" s="22">
        <v>1.0</v>
      </c>
      <c r="AK6" s="22">
        <v>42.0</v>
      </c>
      <c r="AL6" s="23">
        <v>35.0</v>
      </c>
      <c r="AM6" s="22">
        <v>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3</v>
      </c>
      <c r="Q7" s="17">
        <f t="shared" si="4"/>
        <v>0</v>
      </c>
      <c r="R7" s="19">
        <f t="shared" si="5"/>
        <v>1</v>
      </c>
      <c r="S7" s="19">
        <f t="shared" si="6"/>
        <v>1</v>
      </c>
      <c r="T7" s="17">
        <f t="shared" si="7"/>
        <v>27</v>
      </c>
      <c r="U7" s="19">
        <f t="shared" si="8"/>
        <v>35</v>
      </c>
      <c r="V7" s="17">
        <f t="shared" si="9"/>
        <v>-8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32</v>
      </c>
      <c r="AG7" s="22">
        <v>4.0</v>
      </c>
      <c r="AH7" s="22">
        <v>1.0</v>
      </c>
      <c r="AI7" s="23">
        <v>0.0</v>
      </c>
      <c r="AJ7" s="22">
        <v>1.0</v>
      </c>
      <c r="AK7" s="22">
        <v>46.0</v>
      </c>
      <c r="AL7" s="23">
        <v>39.0</v>
      </c>
      <c r="AM7" s="22">
        <v>7.0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5</v>
      </c>
      <c r="Q8" s="17">
        <f t="shared" si="4"/>
        <v>1</v>
      </c>
      <c r="R8" s="19">
        <f t="shared" si="5"/>
        <v>1</v>
      </c>
      <c r="S8" s="19">
        <f t="shared" si="6"/>
        <v>0</v>
      </c>
      <c r="T8" s="17">
        <f t="shared" si="7"/>
        <v>31</v>
      </c>
      <c r="U8" s="19">
        <f t="shared" si="8"/>
        <v>29</v>
      </c>
      <c r="V8" s="17">
        <f t="shared" si="9"/>
        <v>2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3.0</v>
      </c>
      <c r="AH8" s="22">
        <v>1.0</v>
      </c>
      <c r="AI8" s="23">
        <v>0.0</v>
      </c>
      <c r="AJ8" s="22">
        <v>0.0</v>
      </c>
      <c r="AK8" s="22">
        <v>35.0</v>
      </c>
      <c r="AL8" s="23">
        <v>11.0</v>
      </c>
      <c r="AM8" s="22">
        <v>24.0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2</v>
      </c>
      <c r="Q9" s="17">
        <f t="shared" si="4"/>
        <v>0</v>
      </c>
      <c r="R9" s="19">
        <f t="shared" si="5"/>
        <v>0</v>
      </c>
      <c r="S9" s="19">
        <f t="shared" si="6"/>
        <v>2</v>
      </c>
      <c r="T9" s="17">
        <f t="shared" si="7"/>
        <v>38</v>
      </c>
      <c r="U9" s="19">
        <f t="shared" si="8"/>
        <v>48</v>
      </c>
      <c r="V9" s="17">
        <f t="shared" si="9"/>
        <v>-10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37</v>
      </c>
      <c r="AG9" s="22">
        <v>3.0</v>
      </c>
      <c r="AH9" s="22">
        <v>0.0</v>
      </c>
      <c r="AI9" s="23">
        <v>1.0</v>
      </c>
      <c r="AJ9" s="22">
        <v>1.0</v>
      </c>
      <c r="AK9" s="22">
        <v>27.0</v>
      </c>
      <c r="AL9" s="23">
        <v>35.0</v>
      </c>
      <c r="AM9" s="22">
        <v>-8.0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2.0</v>
      </c>
      <c r="AH10" s="22">
        <v>0.0</v>
      </c>
      <c r="AI10" s="23">
        <v>0.0</v>
      </c>
      <c r="AJ10" s="22">
        <v>2.0</v>
      </c>
      <c r="AK10" s="22">
        <v>38.0</v>
      </c>
      <c r="AL10" s="23">
        <v>48.0</v>
      </c>
      <c r="AM10" s="22">
        <v>-10.0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50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2.0</v>
      </c>
      <c r="AH11" s="22">
        <v>0.0</v>
      </c>
      <c r="AI11" s="23">
        <v>0.0</v>
      </c>
      <c r="AJ11" s="22">
        <v>2.0</v>
      </c>
      <c r="AK11" s="22">
        <v>24.0</v>
      </c>
      <c r="AL11" s="23">
        <v>64.0</v>
      </c>
      <c r="AM11" s="22">
        <v>-40.0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6</v>
      </c>
      <c r="Q12" s="17">
        <f t="shared" si="4"/>
        <v>2</v>
      </c>
      <c r="R12" s="19">
        <f t="shared" si="5"/>
        <v>0</v>
      </c>
      <c r="S12" s="19">
        <f t="shared" si="6"/>
        <v>0</v>
      </c>
      <c r="T12" s="17">
        <f t="shared" si="7"/>
        <v>49</v>
      </c>
      <c r="U12" s="19">
        <f t="shared" si="8"/>
        <v>39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45</v>
      </c>
      <c r="AG12" s="22">
        <v>1.0</v>
      </c>
      <c r="AH12" s="22">
        <v>0.0</v>
      </c>
      <c r="AI12" s="23">
        <v>0.0</v>
      </c>
      <c r="AJ12" s="22">
        <v>1.0</v>
      </c>
      <c r="AK12" s="22">
        <v>20.0</v>
      </c>
      <c r="AL12" s="23">
        <v>25.0</v>
      </c>
      <c r="AM12" s="22">
        <v>-5.0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1</v>
      </c>
      <c r="Q13" s="17">
        <f t="shared" si="4"/>
        <v>0</v>
      </c>
      <c r="R13" s="19">
        <f t="shared" si="5"/>
        <v>0</v>
      </c>
      <c r="S13" s="19">
        <f t="shared" si="6"/>
        <v>1</v>
      </c>
      <c r="T13" s="17">
        <f t="shared" si="7"/>
        <v>20</v>
      </c>
      <c r="U13" s="19">
        <f t="shared" si="8"/>
        <v>25</v>
      </c>
      <c r="V13" s="17">
        <f t="shared" si="9"/>
        <v>-5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50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51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37</v>
      </c>
      <c r="F18" s="16"/>
      <c r="G18" s="16" t="s">
        <v>24</v>
      </c>
      <c r="H18" s="16"/>
      <c r="I18" s="14" t="s">
        <v>35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4</v>
      </c>
      <c r="Q78" s="17">
        <f t="shared" ref="Q78:Q89" si="14">COUNTIFS(E$78:E$143,O78,K$78:K$143,3)+COUNTIFS(I$78:I$143,O78,L$78:L$143,3)</f>
        <v>1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28</v>
      </c>
      <c r="U78" s="19">
        <f t="shared" ref="U78:U89" si="18">SUMIF(E$78:E$143,O78,H$78:H$143)+SUMIF(I$78:I$143,O78,F$78:F$143)</f>
        <v>33</v>
      </c>
      <c r="V78" s="17">
        <f t="shared" ref="V78:V89" si="19">T78-U78</f>
        <v>-5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DPT</v>
      </c>
      <c r="AG78" s="22">
        <v>6.0</v>
      </c>
      <c r="AH78" s="22">
        <v>2.0</v>
      </c>
      <c r="AI78" s="23">
        <v>0.0</v>
      </c>
      <c r="AJ78" s="23">
        <v>0.0</v>
      </c>
      <c r="AK78" s="22">
        <v>49.0</v>
      </c>
      <c r="AL78" s="23">
        <v>29.0</v>
      </c>
      <c r="AM78" s="22">
        <v>20.0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49</v>
      </c>
      <c r="U79" s="19">
        <f t="shared" si="18"/>
        <v>29</v>
      </c>
      <c r="V79" s="17">
        <f t="shared" si="19"/>
        <v>20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6.0</v>
      </c>
      <c r="AH79" s="22">
        <v>2.0</v>
      </c>
      <c r="AI79" s="23">
        <v>0.0</v>
      </c>
      <c r="AJ79" s="23">
        <v>0.0</v>
      </c>
      <c r="AK79" s="22">
        <v>40.0</v>
      </c>
      <c r="AL79" s="23">
        <v>24.0</v>
      </c>
      <c r="AM79" s="22">
        <v>16.0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6</v>
      </c>
      <c r="Q80" s="17">
        <f t="shared" si="14"/>
        <v>2</v>
      </c>
      <c r="R80" s="19">
        <f t="shared" si="15"/>
        <v>0</v>
      </c>
      <c r="S80" s="19">
        <f t="shared" si="16"/>
        <v>0</v>
      </c>
      <c r="T80" s="17">
        <f t="shared" si="17"/>
        <v>40</v>
      </c>
      <c r="U80" s="19">
        <f t="shared" si="18"/>
        <v>24</v>
      </c>
      <c r="V80" s="17">
        <f t="shared" si="19"/>
        <v>16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6.0</v>
      </c>
      <c r="AH80" s="22">
        <v>2.0</v>
      </c>
      <c r="AI80" s="23">
        <v>0.0</v>
      </c>
      <c r="AJ80" s="23">
        <v>0.0</v>
      </c>
      <c r="AK80" s="22">
        <v>44.0</v>
      </c>
      <c r="AL80" s="23">
        <v>29.0</v>
      </c>
      <c r="AM80" s="22">
        <v>15.0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4</v>
      </c>
      <c r="Q81" s="17">
        <f t="shared" si="14"/>
        <v>1</v>
      </c>
      <c r="R81" s="19">
        <f t="shared" si="15"/>
        <v>0</v>
      </c>
      <c r="S81" s="19">
        <f t="shared" si="16"/>
        <v>1</v>
      </c>
      <c r="T81" s="17">
        <f t="shared" si="17"/>
        <v>33</v>
      </c>
      <c r="U81" s="19">
        <f t="shared" si="18"/>
        <v>34</v>
      </c>
      <c r="V81" s="17">
        <f t="shared" si="19"/>
        <v>-1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56</v>
      </c>
      <c r="AG81" s="22">
        <v>6.0</v>
      </c>
      <c r="AH81" s="22">
        <v>2.0</v>
      </c>
      <c r="AI81" s="23">
        <v>0.0</v>
      </c>
      <c r="AJ81" s="23">
        <v>0.0</v>
      </c>
      <c r="AK81" s="22">
        <v>47.0</v>
      </c>
      <c r="AL81" s="23">
        <v>35.0</v>
      </c>
      <c r="AM81" s="22">
        <v>12.0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2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31</v>
      </c>
      <c r="U82" s="19">
        <f t="shared" si="18"/>
        <v>40</v>
      </c>
      <c r="V82" s="17">
        <f t="shared" si="19"/>
        <v>-9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59</v>
      </c>
      <c r="AG82" s="22">
        <v>6.0</v>
      </c>
      <c r="AH82" s="22">
        <v>2.0</v>
      </c>
      <c r="AI82" s="23">
        <v>0.0</v>
      </c>
      <c r="AJ82" s="23">
        <v>0.0</v>
      </c>
      <c r="AK82" s="22">
        <v>41.0</v>
      </c>
      <c r="AL82" s="23">
        <v>37.0</v>
      </c>
      <c r="AM82" s="22">
        <v>4.0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0</v>
      </c>
      <c r="T83" s="17">
        <f t="shared" si="17"/>
        <v>44</v>
      </c>
      <c r="U83" s="19">
        <f t="shared" si="18"/>
        <v>29</v>
      </c>
      <c r="V83" s="17">
        <f t="shared" si="19"/>
        <v>15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63</v>
      </c>
      <c r="AG83" s="22">
        <v>4.0</v>
      </c>
      <c r="AH83" s="22">
        <v>1.0</v>
      </c>
      <c r="AI83" s="23">
        <v>0.0</v>
      </c>
      <c r="AJ83" s="23">
        <v>1.0</v>
      </c>
      <c r="AK83" s="22">
        <v>33.0</v>
      </c>
      <c r="AL83" s="23">
        <v>34.0</v>
      </c>
      <c r="AM83" s="22">
        <v>-1.0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2</v>
      </c>
      <c r="Q84" s="17">
        <f t="shared" si="14"/>
        <v>0</v>
      </c>
      <c r="R84" s="19">
        <f t="shared" si="15"/>
        <v>0</v>
      </c>
      <c r="S84" s="19">
        <f t="shared" si="16"/>
        <v>2</v>
      </c>
      <c r="T84" s="17">
        <f t="shared" si="17"/>
        <v>38</v>
      </c>
      <c r="U84" s="19">
        <f t="shared" si="18"/>
        <v>46</v>
      </c>
      <c r="V84" s="17">
        <f t="shared" si="19"/>
        <v>-8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54</v>
      </c>
      <c r="AG84" s="22">
        <v>4.0</v>
      </c>
      <c r="AH84" s="22">
        <v>1.0</v>
      </c>
      <c r="AI84" s="23">
        <v>0.0</v>
      </c>
      <c r="AJ84" s="23">
        <v>1.0</v>
      </c>
      <c r="AK84" s="22">
        <v>28.0</v>
      </c>
      <c r="AL84" s="23">
        <v>33.0</v>
      </c>
      <c r="AM84" s="22">
        <v>-5.0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6</v>
      </c>
      <c r="Q85" s="17">
        <f t="shared" si="14"/>
        <v>2</v>
      </c>
      <c r="R85" s="19">
        <f t="shared" si="15"/>
        <v>0</v>
      </c>
      <c r="S85" s="19">
        <f t="shared" si="16"/>
        <v>0</v>
      </c>
      <c r="T85" s="17">
        <f t="shared" si="17"/>
        <v>41</v>
      </c>
      <c r="U85" s="19">
        <f t="shared" si="18"/>
        <v>37</v>
      </c>
      <c r="V85" s="17">
        <f t="shared" si="19"/>
        <v>4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2.0</v>
      </c>
      <c r="AH85" s="22">
        <v>0.0</v>
      </c>
      <c r="AI85" s="23">
        <v>0.0</v>
      </c>
      <c r="AJ85" s="23">
        <v>2.0</v>
      </c>
      <c r="AK85" s="22">
        <v>36.0</v>
      </c>
      <c r="AL85" s="23">
        <v>43.0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2</v>
      </c>
      <c r="Q86" s="17">
        <f t="shared" si="14"/>
        <v>0</v>
      </c>
      <c r="R86" s="19">
        <f t="shared" si="15"/>
        <v>0</v>
      </c>
      <c r="S86" s="19">
        <f t="shared" si="16"/>
        <v>2</v>
      </c>
      <c r="T86" s="17">
        <f t="shared" si="17"/>
        <v>36</v>
      </c>
      <c r="U86" s="19">
        <f t="shared" si="18"/>
        <v>43</v>
      </c>
      <c r="V86" s="17">
        <f t="shared" si="19"/>
        <v>-7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60</v>
      </c>
      <c r="AG86" s="22">
        <v>2.0</v>
      </c>
      <c r="AH86" s="22">
        <v>0.0</v>
      </c>
      <c r="AI86" s="23">
        <v>0.0</v>
      </c>
      <c r="AJ86" s="23">
        <v>2.0</v>
      </c>
      <c r="AK86" s="22">
        <v>38.0</v>
      </c>
      <c r="AL86" s="23">
        <v>46.0</v>
      </c>
      <c r="AM86" s="22">
        <v>-8.0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6</v>
      </c>
      <c r="Q87" s="17">
        <f t="shared" si="14"/>
        <v>2</v>
      </c>
      <c r="R87" s="19">
        <f t="shared" si="15"/>
        <v>0</v>
      </c>
      <c r="S87" s="19">
        <f t="shared" si="16"/>
        <v>0</v>
      </c>
      <c r="T87" s="17">
        <f t="shared" si="17"/>
        <v>47</v>
      </c>
      <c r="U87" s="19">
        <f t="shared" si="18"/>
        <v>35</v>
      </c>
      <c r="V87" s="17">
        <f t="shared" si="19"/>
        <v>12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57</v>
      </c>
      <c r="AG87" s="22">
        <v>2.0</v>
      </c>
      <c r="AH87" s="44">
        <v>0.0</v>
      </c>
      <c r="AI87" s="45">
        <v>0.0</v>
      </c>
      <c r="AJ87" s="45">
        <v>2.0</v>
      </c>
      <c r="AK87" s="44">
        <v>31.0</v>
      </c>
      <c r="AL87" s="45">
        <v>40.0</v>
      </c>
      <c r="AM87" s="44">
        <v>-9.0</v>
      </c>
      <c r="AN87" s="17"/>
    </row>
    <row r="88" ht="15.75" customHeight="1">
      <c r="A88" s="24"/>
      <c r="B88" s="11">
        <v>45720.0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2</v>
      </c>
      <c r="Q88" s="17">
        <f t="shared" si="14"/>
        <v>0</v>
      </c>
      <c r="R88" s="19">
        <f t="shared" si="15"/>
        <v>0</v>
      </c>
      <c r="S88" s="19">
        <f t="shared" si="16"/>
        <v>2</v>
      </c>
      <c r="T88" s="17">
        <f t="shared" si="17"/>
        <v>20</v>
      </c>
      <c r="U88" s="19">
        <f t="shared" si="18"/>
        <v>37</v>
      </c>
      <c r="V88" s="17">
        <f t="shared" si="19"/>
        <v>-17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64</v>
      </c>
      <c r="AG88" s="22">
        <v>2.0</v>
      </c>
      <c r="AH88" s="22">
        <v>0.0</v>
      </c>
      <c r="AI88" s="23">
        <v>0.0</v>
      </c>
      <c r="AJ88" s="23">
        <v>2.0</v>
      </c>
      <c r="AK88" s="22">
        <v>20.0</v>
      </c>
      <c r="AL88" s="23">
        <v>37.0</v>
      </c>
      <c r="AM88" s="22">
        <v>-17.0</v>
      </c>
      <c r="AN88" s="17"/>
    </row>
    <row r="89" ht="15.75" customHeight="1">
      <c r="A89" s="28"/>
      <c r="B89" s="11">
        <v>45720.0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2</v>
      </c>
      <c r="Q89" s="17">
        <f t="shared" si="14"/>
        <v>0</v>
      </c>
      <c r="R89" s="19">
        <f t="shared" si="15"/>
        <v>0</v>
      </c>
      <c r="S89" s="19">
        <f t="shared" si="16"/>
        <v>2</v>
      </c>
      <c r="T89" s="17">
        <f t="shared" si="17"/>
        <v>26</v>
      </c>
      <c r="U89" s="19">
        <f t="shared" si="18"/>
        <v>46</v>
      </c>
      <c r="V89" s="17">
        <f t="shared" si="19"/>
        <v>-20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65</v>
      </c>
      <c r="AG89" s="22">
        <v>2.0</v>
      </c>
      <c r="AH89" s="22">
        <v>0.0</v>
      </c>
      <c r="AI89" s="23">
        <v>0.0</v>
      </c>
      <c r="AJ89" s="23">
        <v>2.0</v>
      </c>
      <c r="AK89" s="22">
        <v>26.0</v>
      </c>
      <c r="AL89" s="23">
        <v>46.0</v>
      </c>
      <c r="AM89" s="22">
        <v>-20.0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59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61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2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49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9"/>
      <c r="C97" s="30"/>
      <c r="D97" s="30"/>
      <c r="E97" s="40" t="s">
        <v>60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9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9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9"/>
      <c r="C100" s="30"/>
      <c r="D100" s="30"/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9"/>
      <c r="C101" s="30"/>
      <c r="D101" s="30"/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135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3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15</v>
      </c>
      <c r="V3" s="17">
        <f t="shared" ref="V3:V14" si="9">T3-U3</f>
        <v>-11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9.0</v>
      </c>
      <c r="AH3" s="22">
        <v>3.0</v>
      </c>
      <c r="AI3" s="22">
        <v>0.0</v>
      </c>
      <c r="AJ3" s="22">
        <v>0.0</v>
      </c>
      <c r="AK3" s="22">
        <v>16.0</v>
      </c>
      <c r="AL3" s="22">
        <v>3.0</v>
      </c>
      <c r="AM3" s="22">
        <v>13.0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9</v>
      </c>
      <c r="U4" s="19">
        <f t="shared" si="8"/>
        <v>2</v>
      </c>
      <c r="V4" s="17">
        <f t="shared" si="9"/>
        <v>7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143</v>
      </c>
      <c r="AG4" s="22">
        <v>9.0</v>
      </c>
      <c r="AH4" s="22">
        <v>3.0</v>
      </c>
      <c r="AI4" s="22">
        <v>0.0</v>
      </c>
      <c r="AJ4" s="22">
        <v>0.0</v>
      </c>
      <c r="AK4" s="22">
        <v>9.0</v>
      </c>
      <c r="AL4" s="22">
        <v>2.0</v>
      </c>
      <c r="AM4" s="22">
        <v>7.0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16</v>
      </c>
      <c r="U5" s="19">
        <f t="shared" si="8"/>
        <v>3</v>
      </c>
      <c r="V5" s="17">
        <f t="shared" si="9"/>
        <v>13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145</v>
      </c>
      <c r="AG5" s="22">
        <v>7.0</v>
      </c>
      <c r="AH5" s="22">
        <v>2.0</v>
      </c>
      <c r="AI5" s="22">
        <v>1.0</v>
      </c>
      <c r="AJ5" s="22">
        <v>0.0</v>
      </c>
      <c r="AK5" s="22">
        <v>11.0</v>
      </c>
      <c r="AL5" s="22">
        <v>1.0</v>
      </c>
      <c r="AM5" s="22">
        <v>10.0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3</v>
      </c>
      <c r="T6" s="17">
        <f t="shared" si="7"/>
        <v>2</v>
      </c>
      <c r="U6" s="19">
        <f t="shared" si="8"/>
        <v>17</v>
      </c>
      <c r="V6" s="17">
        <f t="shared" si="9"/>
        <v>-15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108</v>
      </c>
      <c r="AG6" s="22">
        <v>7.0</v>
      </c>
      <c r="AH6" s="22">
        <v>2.0</v>
      </c>
      <c r="AI6" s="22">
        <v>1.0</v>
      </c>
      <c r="AJ6" s="22">
        <v>0.0</v>
      </c>
      <c r="AK6" s="22">
        <v>9.0</v>
      </c>
      <c r="AL6" s="22">
        <v>5.0</v>
      </c>
      <c r="AM6" s="22">
        <v>4.0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4</v>
      </c>
      <c r="U7" s="19">
        <f t="shared" si="8"/>
        <v>10</v>
      </c>
      <c r="V7" s="17">
        <f t="shared" si="9"/>
        <v>-6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4.0</v>
      </c>
      <c r="AH7" s="22">
        <v>1.0</v>
      </c>
      <c r="AI7" s="22">
        <v>1.0</v>
      </c>
      <c r="AJ7" s="22">
        <v>1.0</v>
      </c>
      <c r="AK7" s="22">
        <v>9.0</v>
      </c>
      <c r="AL7" s="22">
        <v>9.0</v>
      </c>
      <c r="AM7" s="22">
        <v>0.0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4</v>
      </c>
      <c r="U8" s="19">
        <f t="shared" si="8"/>
        <v>7</v>
      </c>
      <c r="V8" s="17">
        <f t="shared" si="9"/>
        <v>-3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146</v>
      </c>
      <c r="AG8" s="22">
        <v>3.0</v>
      </c>
      <c r="AH8" s="22">
        <v>1.0</v>
      </c>
      <c r="AI8" s="22">
        <v>0.0</v>
      </c>
      <c r="AJ8" s="22">
        <v>2.0</v>
      </c>
      <c r="AK8" s="22">
        <v>12.0</v>
      </c>
      <c r="AL8" s="22">
        <v>10.0</v>
      </c>
      <c r="AM8" s="22">
        <v>2.0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145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0</v>
      </c>
      <c r="T9" s="17">
        <f t="shared" si="7"/>
        <v>11</v>
      </c>
      <c r="U9" s="19">
        <f t="shared" si="8"/>
        <v>1</v>
      </c>
      <c r="V9" s="17">
        <f t="shared" si="9"/>
        <v>10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144</v>
      </c>
      <c r="AG9" s="22">
        <v>3.0</v>
      </c>
      <c r="AH9" s="22">
        <v>0.0</v>
      </c>
      <c r="AI9" s="22">
        <v>3.0</v>
      </c>
      <c r="AJ9" s="22">
        <v>0.0</v>
      </c>
      <c r="AK9" s="22">
        <v>6.0</v>
      </c>
      <c r="AL9" s="22">
        <v>6.0</v>
      </c>
      <c r="AM9" s="22">
        <v>0.0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144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0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23</v>
      </c>
      <c r="AG10" s="22">
        <v>3.0</v>
      </c>
      <c r="AH10" s="22">
        <v>1.0</v>
      </c>
      <c r="AI10" s="22">
        <v>0.0</v>
      </c>
      <c r="AJ10" s="22">
        <v>2.0</v>
      </c>
      <c r="AK10" s="22">
        <v>8.0</v>
      </c>
      <c r="AL10" s="22">
        <v>9.0</v>
      </c>
      <c r="AM10" s="22">
        <v>-1.0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145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4</v>
      </c>
      <c r="Q11" s="17">
        <f t="shared" si="4"/>
        <v>1</v>
      </c>
      <c r="R11" s="17">
        <f t="shared" si="5"/>
        <v>1</v>
      </c>
      <c r="S11" s="19">
        <f t="shared" si="6"/>
        <v>1</v>
      </c>
      <c r="T11" s="17">
        <f t="shared" si="7"/>
        <v>9</v>
      </c>
      <c r="U11" s="19">
        <f t="shared" si="8"/>
        <v>9</v>
      </c>
      <c r="V11" s="17">
        <f t="shared" si="9"/>
        <v>0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25</v>
      </c>
      <c r="AG11" s="22">
        <v>3.0</v>
      </c>
      <c r="AH11" s="22">
        <v>1.0</v>
      </c>
      <c r="AI11" s="22">
        <v>0.0</v>
      </c>
      <c r="AJ11" s="22">
        <v>2.0</v>
      </c>
      <c r="AK11" s="22">
        <v>4.0</v>
      </c>
      <c r="AL11" s="22">
        <v>7.0</v>
      </c>
      <c r="AM11" s="22">
        <v>-3.0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5" t="s">
        <v>24</v>
      </c>
      <c r="H12" s="14">
        <v>3.0</v>
      </c>
      <c r="I12" s="14" t="s">
        <v>144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2</v>
      </c>
      <c r="T12" s="17">
        <f t="shared" si="7"/>
        <v>8</v>
      </c>
      <c r="U12" s="19">
        <f t="shared" si="8"/>
        <v>9</v>
      </c>
      <c r="V12" s="17">
        <f t="shared" si="9"/>
        <v>-1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111</v>
      </c>
      <c r="AG12" s="22">
        <v>3.0</v>
      </c>
      <c r="AH12" s="22">
        <v>1.0</v>
      </c>
      <c r="AI12" s="22">
        <v>0.0</v>
      </c>
      <c r="AJ12" s="22">
        <v>2.0</v>
      </c>
      <c r="AK12" s="22">
        <v>4.0</v>
      </c>
      <c r="AL12" s="22">
        <v>10.0</v>
      </c>
      <c r="AM12" s="22">
        <v>-6.0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7</v>
      </c>
      <c r="Q13" s="17">
        <f t="shared" si="4"/>
        <v>2</v>
      </c>
      <c r="R13" s="17">
        <f t="shared" si="5"/>
        <v>1</v>
      </c>
      <c r="S13" s="19">
        <f t="shared" si="6"/>
        <v>0</v>
      </c>
      <c r="T13" s="17">
        <f t="shared" si="7"/>
        <v>9</v>
      </c>
      <c r="U13" s="19">
        <f t="shared" si="8"/>
        <v>5</v>
      </c>
      <c r="V13" s="17">
        <f t="shared" si="9"/>
        <v>4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3.0</v>
      </c>
      <c r="AK13" s="22">
        <v>4.0</v>
      </c>
      <c r="AL13" s="22">
        <v>15.0</v>
      </c>
      <c r="AM13" s="22">
        <v>-11.0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146</v>
      </c>
      <c r="P14" s="17">
        <f t="shared" si="3"/>
        <v>3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12</v>
      </c>
      <c r="U14" s="19">
        <f t="shared" si="8"/>
        <v>10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3.0</v>
      </c>
      <c r="AK14" s="22">
        <v>2.0</v>
      </c>
      <c r="AL14" s="22">
        <v>17.0</v>
      </c>
      <c r="AM14" s="22">
        <v>-15.0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111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145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5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133</v>
      </c>
      <c r="E18" s="14" t="s">
        <v>144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143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133</v>
      </c>
      <c r="E20" s="14" t="s">
        <v>146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37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4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111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4"/>
      <c r="C29" s="75"/>
      <c r="D29" s="75"/>
      <c r="E29" s="14" t="s">
        <v>37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2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11</v>
      </c>
      <c r="V75" s="17">
        <f t="shared" ref="V75:V83" si="19">T75-U75</f>
        <v>-3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9.0</v>
      </c>
      <c r="AH75" s="22">
        <v>3.0</v>
      </c>
      <c r="AI75" s="22">
        <v>0.0</v>
      </c>
      <c r="AJ75" s="22">
        <v>0.0</v>
      </c>
      <c r="AK75" s="22">
        <v>24.0</v>
      </c>
      <c r="AL75" s="22">
        <v>9.0</v>
      </c>
      <c r="AM75" s="22">
        <v>15.0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1</v>
      </c>
      <c r="T76" s="17">
        <f t="shared" si="17"/>
        <v>8</v>
      </c>
      <c r="U76" s="19">
        <f t="shared" si="18"/>
        <v>9</v>
      </c>
      <c r="V76" s="17">
        <f t="shared" si="19"/>
        <v>-1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9.0</v>
      </c>
      <c r="AH76" s="22">
        <v>3.0</v>
      </c>
      <c r="AI76" s="22">
        <v>0.0</v>
      </c>
      <c r="AJ76" s="22">
        <v>0.0</v>
      </c>
      <c r="AK76" s="22">
        <v>21.0</v>
      </c>
      <c r="AL76" s="22">
        <v>7.0</v>
      </c>
      <c r="AM76" s="22">
        <v>14.0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63</v>
      </c>
      <c r="AG77" s="22">
        <v>4.0</v>
      </c>
      <c r="AH77" s="22">
        <v>1.0</v>
      </c>
      <c r="AI77" s="22">
        <v>1.0</v>
      </c>
      <c r="AJ77" s="22">
        <v>1.0</v>
      </c>
      <c r="AK77" s="22">
        <v>11.0</v>
      </c>
      <c r="AL77" s="22">
        <v>12.0</v>
      </c>
      <c r="AM77" s="22">
        <v>-1.0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9</v>
      </c>
      <c r="Q78" s="17">
        <f t="shared" si="14"/>
        <v>3</v>
      </c>
      <c r="R78" s="19">
        <f t="shared" si="15"/>
        <v>0</v>
      </c>
      <c r="S78" s="19">
        <f t="shared" si="16"/>
        <v>0</v>
      </c>
      <c r="T78" s="17">
        <f t="shared" si="17"/>
        <v>21</v>
      </c>
      <c r="U78" s="19">
        <f t="shared" si="18"/>
        <v>7</v>
      </c>
      <c r="V78" s="17">
        <f t="shared" si="19"/>
        <v>14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2.0</v>
      </c>
      <c r="AK78" s="22">
        <v>8.0</v>
      </c>
      <c r="AL78" s="22">
        <v>7.0</v>
      </c>
      <c r="AM78" s="22">
        <v>1.0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9</v>
      </c>
      <c r="Q79" s="17">
        <f t="shared" si="14"/>
        <v>3</v>
      </c>
      <c r="R79" s="19">
        <f t="shared" si="15"/>
        <v>0</v>
      </c>
      <c r="S79" s="19">
        <f t="shared" si="16"/>
        <v>0</v>
      </c>
      <c r="T79" s="17">
        <f t="shared" si="17"/>
        <v>24</v>
      </c>
      <c r="U79" s="19">
        <f t="shared" si="18"/>
        <v>9</v>
      </c>
      <c r="V79" s="17">
        <f t="shared" si="19"/>
        <v>15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110</v>
      </c>
      <c r="AG79" s="22">
        <v>3.0</v>
      </c>
      <c r="AH79" s="22">
        <v>1.0</v>
      </c>
      <c r="AI79" s="22">
        <v>0.0</v>
      </c>
      <c r="AJ79" s="22">
        <v>1.0</v>
      </c>
      <c r="AK79" s="22">
        <v>8.0</v>
      </c>
      <c r="AL79" s="22">
        <v>9.0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1</v>
      </c>
      <c r="T80" s="17">
        <f t="shared" si="17"/>
        <v>7</v>
      </c>
      <c r="U80" s="19">
        <f t="shared" si="18"/>
        <v>8</v>
      </c>
      <c r="V80" s="17">
        <f t="shared" si="19"/>
        <v>-1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3.0</v>
      </c>
      <c r="AH80" s="22">
        <v>1.0</v>
      </c>
      <c r="AI80" s="22">
        <v>0.0</v>
      </c>
      <c r="AJ80" s="22">
        <v>2.0</v>
      </c>
      <c r="AK80" s="22">
        <v>11.0</v>
      </c>
      <c r="AL80" s="22">
        <v>26.0</v>
      </c>
      <c r="AM80" s="22">
        <v>-15.0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1.0</v>
      </c>
      <c r="AK81" s="22">
        <v>7.0</v>
      </c>
      <c r="AL81" s="22">
        <v>8.0</v>
      </c>
      <c r="AM81" s="22">
        <v>-1.0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3</v>
      </c>
      <c r="Q82" s="17">
        <f t="shared" si="14"/>
        <v>1</v>
      </c>
      <c r="R82" s="19">
        <f t="shared" si="15"/>
        <v>0</v>
      </c>
      <c r="S82" s="19">
        <f t="shared" si="16"/>
        <v>2</v>
      </c>
      <c r="T82" s="17">
        <f t="shared" si="17"/>
        <v>11</v>
      </c>
      <c r="U82" s="19">
        <f t="shared" si="18"/>
        <v>26</v>
      </c>
      <c r="V82" s="17">
        <f t="shared" si="19"/>
        <v>-15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113</v>
      </c>
      <c r="AG82" s="22">
        <v>1.0</v>
      </c>
      <c r="AH82" s="22">
        <v>0.0</v>
      </c>
      <c r="AI82" s="22">
        <v>1.0</v>
      </c>
      <c r="AJ82" s="22">
        <v>2.0</v>
      </c>
      <c r="AK82" s="22">
        <v>8.0</v>
      </c>
      <c r="AL82" s="22">
        <v>11.0</v>
      </c>
      <c r="AM82" s="22">
        <v>-3.0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2</v>
      </c>
      <c r="T83" s="17">
        <f t="shared" si="17"/>
        <v>8</v>
      </c>
      <c r="U83" s="19">
        <f t="shared" si="18"/>
        <v>7</v>
      </c>
      <c r="V83" s="17">
        <f t="shared" si="19"/>
        <v>1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154</v>
      </c>
      <c r="AG83" s="22">
        <v>1.0</v>
      </c>
      <c r="AH83" s="22">
        <v>0.0</v>
      </c>
      <c r="AI83" s="22">
        <v>1.0</v>
      </c>
      <c r="AJ83" s="22">
        <v>1.0</v>
      </c>
      <c r="AK83" s="22">
        <v>5.0</v>
      </c>
      <c r="AL83" s="44">
        <v>14.0</v>
      </c>
      <c r="AM83" s="44">
        <v>-9.0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5" t="s">
        <v>24</v>
      </c>
      <c r="H85" s="40">
        <v>4.0</v>
      </c>
      <c r="I85" s="40" t="s">
        <v>113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142</v>
      </c>
      <c r="D86" s="59" t="s">
        <v>22</v>
      </c>
      <c r="E86" s="40" t="s">
        <v>63</v>
      </c>
      <c r="F86" s="40">
        <v>8.0</v>
      </c>
      <c r="G86" s="75" t="s">
        <v>24</v>
      </c>
      <c r="H86" s="40">
        <v>5.0</v>
      </c>
      <c r="I86" s="40" t="s">
        <v>110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5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5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6"/>
      <c r="C90" s="60"/>
      <c r="D90" s="75"/>
      <c r="E90" s="40" t="s">
        <v>113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6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6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6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6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158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134</v>
      </c>
      <c r="F136" s="40">
        <v>2.0</v>
      </c>
      <c r="G136" s="75" t="s">
        <v>24</v>
      </c>
      <c r="H136" s="40">
        <v>2.0</v>
      </c>
      <c r="I136" s="40" t="s">
        <v>157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5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159</v>
      </c>
      <c r="F139" s="40">
        <v>6.0</v>
      </c>
      <c r="G139" s="75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1.0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162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165</v>
      </c>
      <c r="D189" s="12" t="s">
        <v>133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133</v>
      </c>
      <c r="E190" s="40" t="s">
        <v>60</v>
      </c>
      <c r="F190" s="40">
        <v>1.0</v>
      </c>
      <c r="G190" s="75" t="s">
        <v>24</v>
      </c>
      <c r="H190" s="40">
        <v>6.0</v>
      </c>
      <c r="I190" s="40" t="s">
        <v>162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147</v>
      </c>
      <c r="D191" s="12" t="s">
        <v>133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163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60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168</v>
      </c>
      <c r="F229" s="13"/>
      <c r="G229" s="16" t="s">
        <v>24</v>
      </c>
      <c r="H229" s="13"/>
      <c r="I229" s="40" t="s">
        <v>169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170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172</v>
      </c>
      <c r="D3" s="12" t="s">
        <v>133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EET</v>
      </c>
      <c r="AA3" s="22">
        <v>3.0</v>
      </c>
      <c r="AB3" s="22">
        <v>0.0</v>
      </c>
      <c r="AC3" s="22">
        <v>0.0</v>
      </c>
      <c r="AD3" s="23">
        <v>0.0</v>
      </c>
      <c r="AE3" s="22">
        <v>7.0</v>
      </c>
      <c r="AF3" s="23">
        <v>3.0</v>
      </c>
      <c r="AG3" s="22">
        <v>4.0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133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3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0</v>
      </c>
      <c r="V4" s="17">
        <f t="shared" si="9"/>
        <v>3</v>
      </c>
      <c r="W4" s="56"/>
      <c r="X4" s="56"/>
      <c r="Y4" s="21" t="s">
        <v>34</v>
      </c>
      <c r="Z4" s="63" t="s">
        <v>31</v>
      </c>
      <c r="AA4" s="22">
        <v>3.0</v>
      </c>
      <c r="AB4" s="22">
        <v>0.0</v>
      </c>
      <c r="AC4" s="22">
        <v>0.0</v>
      </c>
      <c r="AD4" s="23">
        <v>0.0</v>
      </c>
      <c r="AE4" s="22">
        <v>3.0</v>
      </c>
      <c r="AF4" s="23">
        <v>0.0</v>
      </c>
      <c r="AG4" s="22">
        <v>3.0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133</v>
      </c>
      <c r="E5" s="40" t="s">
        <v>61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62</v>
      </c>
      <c r="AA5" s="22">
        <v>3.0</v>
      </c>
      <c r="AB5" s="22">
        <v>0.0</v>
      </c>
      <c r="AC5" s="22">
        <v>0.0</v>
      </c>
      <c r="AD5" s="23">
        <v>0.0</v>
      </c>
      <c r="AE5" s="22">
        <v>4.0</v>
      </c>
      <c r="AF5" s="23">
        <v>1.0</v>
      </c>
      <c r="AG5" s="22">
        <v>3.0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133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3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4</v>
      </c>
      <c r="U6" s="19">
        <f t="shared" si="8"/>
        <v>1</v>
      </c>
      <c r="V6" s="17">
        <f t="shared" si="9"/>
        <v>3</v>
      </c>
      <c r="W6" s="56"/>
      <c r="X6" s="56"/>
      <c r="Y6" s="47" t="s">
        <v>42</v>
      </c>
      <c r="Z6" s="63" t="s">
        <v>57</v>
      </c>
      <c r="AA6" s="22">
        <v>3.0</v>
      </c>
      <c r="AB6" s="22">
        <v>0.0</v>
      </c>
      <c r="AC6" s="22">
        <v>0.0</v>
      </c>
      <c r="AD6" s="23">
        <v>0.0</v>
      </c>
      <c r="AE6" s="22">
        <v>3.0</v>
      </c>
      <c r="AF6" s="23">
        <v>0.0</v>
      </c>
      <c r="AG6" s="22">
        <v>3.0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173</v>
      </c>
      <c r="D7" s="12" t="s">
        <v>133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3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4</v>
      </c>
      <c r="U7" s="19">
        <f t="shared" si="8"/>
        <v>2</v>
      </c>
      <c r="V7" s="17">
        <f t="shared" si="9"/>
        <v>2</v>
      </c>
      <c r="W7" s="56"/>
      <c r="X7" s="56"/>
      <c r="Y7" s="47" t="s">
        <v>44</v>
      </c>
      <c r="Z7" s="63" t="s">
        <v>61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1.0</v>
      </c>
      <c r="AG7" s="22">
        <v>2.0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175</v>
      </c>
      <c r="D8" s="12" t="s">
        <v>133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0</v>
      </c>
      <c r="U8" s="19">
        <f t="shared" si="8"/>
        <v>3</v>
      </c>
      <c r="V8" s="17">
        <f t="shared" si="9"/>
        <v>-3</v>
      </c>
      <c r="W8" s="56"/>
      <c r="X8" s="56"/>
      <c r="Y8" s="47" t="s">
        <v>47</v>
      </c>
      <c r="Z8" s="63" t="s">
        <v>23</v>
      </c>
      <c r="AA8" s="22">
        <v>3.0</v>
      </c>
      <c r="AB8" s="22">
        <v>0.0</v>
      </c>
      <c r="AC8" s="22">
        <v>0.0</v>
      </c>
      <c r="AD8" s="23">
        <v>0.0</v>
      </c>
      <c r="AE8" s="22">
        <v>4.0</v>
      </c>
      <c r="AF8" s="23">
        <v>2.0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133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1</v>
      </c>
      <c r="T9" s="17">
        <f t="shared" si="7"/>
        <v>1</v>
      </c>
      <c r="U9" s="19">
        <f t="shared" si="8"/>
        <v>3</v>
      </c>
      <c r="V9" s="17">
        <f t="shared" si="9"/>
        <v>-2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5" t="s">
        <v>24</v>
      </c>
      <c r="H10" s="14">
        <v>1.0</v>
      </c>
      <c r="I10" s="40" t="s">
        <v>162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1</v>
      </c>
      <c r="U10" s="19">
        <f t="shared" si="8"/>
        <v>4</v>
      </c>
      <c r="V10" s="17">
        <f t="shared" si="9"/>
        <v>-3</v>
      </c>
      <c r="W10" s="56"/>
      <c r="X10" s="56"/>
      <c r="Y10" s="47" t="s">
        <v>135</v>
      </c>
      <c r="Z10" s="63" t="s">
        <v>162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176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>
        <v>45988.0</v>
      </c>
      <c r="C12" s="12" t="s">
        <v>173</v>
      </c>
      <c r="D12" s="12" t="s">
        <v>22</v>
      </c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43</v>
      </c>
      <c r="AA12" s="22">
        <v>0.0</v>
      </c>
      <c r="AB12" s="22">
        <v>0.0</v>
      </c>
      <c r="AC12" s="22">
        <v>0.0</v>
      </c>
      <c r="AD12" s="23">
        <v>1.0</v>
      </c>
      <c r="AE12" s="22">
        <v>1.0</v>
      </c>
      <c r="AF12" s="23">
        <v>3.0</v>
      </c>
      <c r="AG12" s="22">
        <v>-2.0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149</v>
      </c>
      <c r="D13" s="12" t="s">
        <v>22</v>
      </c>
      <c r="E13" s="40" t="s">
        <v>62</v>
      </c>
      <c r="F13" s="75"/>
      <c r="G13" s="75" t="s">
        <v>24</v>
      </c>
      <c r="H13" s="75"/>
      <c r="I13" s="40" t="s">
        <v>37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32</v>
      </c>
      <c r="AA13" s="22">
        <v>0.0</v>
      </c>
      <c r="AB13" s="22">
        <v>0.0</v>
      </c>
      <c r="AC13" s="22">
        <v>0.0</v>
      </c>
      <c r="AD13" s="23">
        <v>2.0</v>
      </c>
      <c r="AE13" s="22">
        <v>2.0</v>
      </c>
      <c r="AF13" s="23">
        <v>5.0</v>
      </c>
      <c r="AG13" s="22">
        <v>-3.0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27"/>
      <c r="G14" s="75" t="s">
        <v>24</v>
      </c>
      <c r="H14" s="27"/>
      <c r="I14" s="40" t="s">
        <v>174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1</v>
      </c>
      <c r="T14" s="17">
        <f t="shared" si="7"/>
        <v>0</v>
      </c>
      <c r="U14" s="19">
        <f t="shared" si="8"/>
        <v>3</v>
      </c>
      <c r="V14" s="17">
        <f t="shared" si="9"/>
        <v>-3</v>
      </c>
      <c r="W14" s="56"/>
      <c r="X14" s="56"/>
      <c r="Y14" s="21">
        <v>12.0</v>
      </c>
      <c r="Z14" s="63" t="s">
        <v>25</v>
      </c>
      <c r="AA14" s="22">
        <v>0.0</v>
      </c>
      <c r="AB14" s="22">
        <v>0.0</v>
      </c>
      <c r="AC14" s="22">
        <v>0.0</v>
      </c>
      <c r="AD14" s="23">
        <v>1.0</v>
      </c>
      <c r="AE14" s="22">
        <v>0.0</v>
      </c>
      <c r="AF14" s="23">
        <v>3.0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165</v>
      </c>
      <c r="D15" s="12" t="s">
        <v>22</v>
      </c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1</v>
      </c>
      <c r="T15" s="17">
        <f t="shared" si="7"/>
        <v>3</v>
      </c>
      <c r="U15" s="19">
        <f t="shared" si="8"/>
        <v>7</v>
      </c>
      <c r="V15" s="17">
        <f t="shared" si="9"/>
        <v>-4</v>
      </c>
      <c r="W15" s="56"/>
      <c r="X15" s="56"/>
      <c r="Y15" s="21">
        <v>13.0</v>
      </c>
      <c r="Z15" s="63" t="s">
        <v>33</v>
      </c>
      <c r="AA15" s="22">
        <v>0.0</v>
      </c>
      <c r="AB15" s="22">
        <v>0.0</v>
      </c>
      <c r="AC15" s="22">
        <v>0.0</v>
      </c>
      <c r="AD15" s="23">
        <v>1.0</v>
      </c>
      <c r="AE15" s="22">
        <v>1.0</v>
      </c>
      <c r="AF15" s="23">
        <v>4.0</v>
      </c>
      <c r="AG15" s="22">
        <v>-3.0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1.0</v>
      </c>
      <c r="AE16" s="22">
        <v>0.0</v>
      </c>
      <c r="AF16" s="23">
        <v>3.0</v>
      </c>
      <c r="AG16" s="22">
        <v>-3.0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7</v>
      </c>
      <c r="U17" s="19">
        <f t="shared" si="8"/>
        <v>3</v>
      </c>
      <c r="V17" s="17">
        <f t="shared" si="9"/>
        <v>4</v>
      </c>
      <c r="W17" s="56"/>
      <c r="X17" s="56"/>
      <c r="Y17" s="47">
        <v>15.0</v>
      </c>
      <c r="Z17" s="63" t="s">
        <v>108</v>
      </c>
      <c r="AA17" s="22">
        <v>0.0</v>
      </c>
      <c r="AB17" s="22">
        <v>0.0</v>
      </c>
      <c r="AC17" s="22">
        <v>0.0</v>
      </c>
      <c r="AD17" s="23">
        <v>1.0</v>
      </c>
      <c r="AE17" s="22">
        <v>3.0</v>
      </c>
      <c r="AF17" s="23">
        <v>7.0</v>
      </c>
      <c r="AG17" s="22">
        <v>-4.0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179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4.0</v>
      </c>
      <c r="AD3" s="27">
        <v>1.0</v>
      </c>
      <c r="AE3" s="27">
        <v>1.0</v>
      </c>
      <c r="AF3" s="27">
        <v>0.0</v>
      </c>
      <c r="AG3" s="27">
        <v>5.0</v>
      </c>
      <c r="AH3" s="27">
        <v>1.0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182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143</v>
      </c>
      <c r="AC4" s="27">
        <v>4.0</v>
      </c>
      <c r="AD4" s="27">
        <v>1.0</v>
      </c>
      <c r="AE4" s="27">
        <v>1.0</v>
      </c>
      <c r="AF4" s="27">
        <v>0.0</v>
      </c>
      <c r="AG4" s="27">
        <v>9.0</v>
      </c>
      <c r="AH4" s="27">
        <v>5.0</v>
      </c>
      <c r="AI4" s="27">
        <v>4.0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182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2</v>
      </c>
      <c r="T5" s="105">
        <f t="shared" si="7"/>
        <v>0</v>
      </c>
      <c r="U5" s="106">
        <f t="shared" si="8"/>
        <v>3</v>
      </c>
      <c r="V5" s="105">
        <f t="shared" si="9"/>
        <v>-3</v>
      </c>
      <c r="W5" s="2"/>
      <c r="X5" s="108" t="s">
        <v>143</v>
      </c>
      <c r="Y5" s="108">
        <v>0.0</v>
      </c>
      <c r="Z5" s="2"/>
      <c r="AA5" s="21" t="s">
        <v>39</v>
      </c>
      <c r="AB5" s="27" t="s">
        <v>38</v>
      </c>
      <c r="AC5" s="27">
        <v>4.0</v>
      </c>
      <c r="AD5" s="27">
        <v>1.0</v>
      </c>
      <c r="AE5" s="27">
        <v>1.0</v>
      </c>
      <c r="AF5" s="27">
        <v>0.0</v>
      </c>
      <c r="AG5" s="27">
        <v>4.0</v>
      </c>
      <c r="AH5" s="27">
        <v>2.0</v>
      </c>
      <c r="AI5" s="27">
        <v>2.0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182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42</v>
      </c>
      <c r="AB6" s="27" t="s">
        <v>25</v>
      </c>
      <c r="AC6" s="27">
        <v>4.0</v>
      </c>
      <c r="AD6" s="27">
        <v>1.0</v>
      </c>
      <c r="AE6" s="27">
        <v>1.0</v>
      </c>
      <c r="AF6" s="27">
        <v>0.0</v>
      </c>
      <c r="AG6" s="27">
        <v>4.0</v>
      </c>
      <c r="AH6" s="27">
        <v>3.0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182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111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0.0</v>
      </c>
      <c r="AI7" s="27">
        <v>2.0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182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4</v>
      </c>
      <c r="Q8" s="105">
        <f t="shared" si="4"/>
        <v>1</v>
      </c>
      <c r="R8" s="105">
        <f t="shared" si="5"/>
        <v>1</v>
      </c>
      <c r="S8" s="106">
        <f t="shared" si="6"/>
        <v>0</v>
      </c>
      <c r="T8" s="105">
        <f t="shared" si="7"/>
        <v>4</v>
      </c>
      <c r="U8" s="106">
        <f t="shared" si="8"/>
        <v>3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33</v>
      </c>
      <c r="AC8" s="27">
        <v>3.0</v>
      </c>
      <c r="AD8" s="27">
        <v>1.0</v>
      </c>
      <c r="AE8" s="27">
        <v>0.0</v>
      </c>
      <c r="AF8" s="27">
        <v>0.0</v>
      </c>
      <c r="AG8" s="27">
        <v>2.0</v>
      </c>
      <c r="AH8" s="27">
        <v>1.0</v>
      </c>
      <c r="AI8" s="27">
        <v>1.0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45940.0</v>
      </c>
      <c r="C9" s="12" t="s">
        <v>95</v>
      </c>
      <c r="D9" s="12" t="s">
        <v>182</v>
      </c>
      <c r="E9" s="40" t="s">
        <v>54</v>
      </c>
      <c r="F9" s="15">
        <v>0.0</v>
      </c>
      <c r="G9" s="75" t="s">
        <v>24</v>
      </c>
      <c r="H9" s="104">
        <v>1.0</v>
      </c>
      <c r="I9" s="40" t="s">
        <v>108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0</v>
      </c>
      <c r="T9" s="105">
        <f t="shared" si="7"/>
        <v>4</v>
      </c>
      <c r="U9" s="106">
        <f t="shared" si="8"/>
        <v>2</v>
      </c>
      <c r="V9" s="105">
        <f t="shared" si="9"/>
        <v>2</v>
      </c>
      <c r="W9" s="2"/>
      <c r="X9" s="2"/>
      <c r="Y9" s="2"/>
      <c r="Z9" s="2"/>
      <c r="AA9" s="21">
        <v>7.0</v>
      </c>
      <c r="AB9" s="27" t="s">
        <v>59</v>
      </c>
      <c r="AC9" s="27">
        <v>3.0</v>
      </c>
      <c r="AD9" s="27">
        <v>1.0</v>
      </c>
      <c r="AE9" s="27">
        <v>0.0</v>
      </c>
      <c r="AF9" s="27">
        <v>0.0</v>
      </c>
      <c r="AG9" s="27">
        <v>2.0</v>
      </c>
      <c r="AH9" s="27">
        <v>1.0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109"/>
      <c r="C10" s="99"/>
      <c r="D10" s="12" t="s">
        <v>182</v>
      </c>
      <c r="E10" s="40" t="s">
        <v>59</v>
      </c>
      <c r="F10" s="16"/>
      <c r="G10" s="75" t="s">
        <v>24</v>
      </c>
      <c r="H10" s="110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4</v>
      </c>
      <c r="Q10" s="105">
        <f t="shared" si="4"/>
        <v>1</v>
      </c>
      <c r="R10" s="105">
        <f t="shared" si="5"/>
        <v>1</v>
      </c>
      <c r="S10" s="106">
        <f t="shared" si="6"/>
        <v>0</v>
      </c>
      <c r="T10" s="105">
        <f t="shared" si="7"/>
        <v>5</v>
      </c>
      <c r="U10" s="106">
        <f t="shared" si="8"/>
        <v>1</v>
      </c>
      <c r="V10" s="105">
        <f t="shared" si="9"/>
        <v>4</v>
      </c>
      <c r="W10" s="2"/>
      <c r="X10" s="2"/>
      <c r="Y10" s="2"/>
      <c r="Z10" s="2"/>
      <c r="AA10" s="21">
        <v>8.0</v>
      </c>
      <c r="AB10" s="27" t="s">
        <v>108</v>
      </c>
      <c r="AC10" s="27">
        <v>3.0</v>
      </c>
      <c r="AD10" s="27">
        <v>1.0</v>
      </c>
      <c r="AE10" s="27">
        <v>0.0</v>
      </c>
      <c r="AF10" s="27">
        <v>1.0</v>
      </c>
      <c r="AG10" s="27">
        <v>2.0</v>
      </c>
      <c r="AH10" s="27">
        <v>2.0</v>
      </c>
      <c r="AI10" s="27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2</v>
      </c>
      <c r="T11" s="105">
        <f t="shared" si="7"/>
        <v>1</v>
      </c>
      <c r="U11" s="106">
        <f t="shared" si="8"/>
        <v>6</v>
      </c>
      <c r="V11" s="105">
        <f t="shared" si="9"/>
        <v>-5</v>
      </c>
      <c r="W11" s="2"/>
      <c r="X11" s="2"/>
      <c r="Y11" s="2"/>
      <c r="Z11" s="2"/>
      <c r="AA11" s="95" t="s">
        <v>101</v>
      </c>
      <c r="AB11" s="27" t="s">
        <v>54</v>
      </c>
      <c r="AC11" s="27">
        <v>0.0</v>
      </c>
      <c r="AD11" s="27">
        <v>0.0</v>
      </c>
      <c r="AE11" s="27">
        <v>0.0</v>
      </c>
      <c r="AF11" s="27">
        <v>2.0</v>
      </c>
      <c r="AG11" s="27">
        <v>0.0</v>
      </c>
      <c r="AH11" s="27">
        <v>3.0</v>
      </c>
      <c r="AI11" s="27">
        <v>-3.0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2</v>
      </c>
      <c r="T12" s="105">
        <f t="shared" si="7"/>
        <v>2</v>
      </c>
      <c r="U12" s="106">
        <f t="shared" si="8"/>
        <v>5</v>
      </c>
      <c r="V12" s="105">
        <f t="shared" si="9"/>
        <v>-3</v>
      </c>
      <c r="W12" s="2"/>
      <c r="X12" s="2"/>
      <c r="Y12" s="2"/>
      <c r="Z12" s="2"/>
      <c r="AA12" s="69">
        <v>10.0</v>
      </c>
      <c r="AB12" s="27" t="s">
        <v>40</v>
      </c>
      <c r="AC12" s="27">
        <v>0.0</v>
      </c>
      <c r="AD12" s="27">
        <v>0.0</v>
      </c>
      <c r="AE12" s="27">
        <v>0.0</v>
      </c>
      <c r="AF12" s="27">
        <v>2.0</v>
      </c>
      <c r="AG12" s="27">
        <v>2.0</v>
      </c>
      <c r="AH12" s="27">
        <v>5.0</v>
      </c>
      <c r="AI12" s="27">
        <v>-3.0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143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143</v>
      </c>
      <c r="P13" s="105">
        <f t="shared" si="3"/>
        <v>4</v>
      </c>
      <c r="Q13" s="105">
        <f t="shared" si="4"/>
        <v>1</v>
      </c>
      <c r="R13" s="105">
        <f t="shared" si="5"/>
        <v>1</v>
      </c>
      <c r="S13" s="106">
        <f t="shared" si="6"/>
        <v>0</v>
      </c>
      <c r="T13" s="105">
        <f t="shared" si="7"/>
        <v>9</v>
      </c>
      <c r="U13" s="106">
        <f t="shared" si="8"/>
        <v>5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61</v>
      </c>
      <c r="AC13" s="27">
        <v>0.0</v>
      </c>
      <c r="AD13" s="27">
        <v>0.0</v>
      </c>
      <c r="AE13" s="27">
        <v>0.0</v>
      </c>
      <c r="AF13" s="27">
        <v>1.0</v>
      </c>
      <c r="AG13" s="27">
        <v>3.0</v>
      </c>
      <c r="AH13" s="27">
        <v>7.0</v>
      </c>
      <c r="AI13" s="27">
        <v>-4.0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01"/>
      <c r="C14" s="99"/>
      <c r="D14" s="12" t="s">
        <v>182</v>
      </c>
      <c r="E14" s="40" t="s">
        <v>33</v>
      </c>
      <c r="F14" s="75"/>
      <c r="G14" s="75" t="s">
        <v>24</v>
      </c>
      <c r="H14" s="110"/>
      <c r="I14" s="40" t="s">
        <v>61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3</v>
      </c>
      <c r="Q14" s="105">
        <f t="shared" si="4"/>
        <v>1</v>
      </c>
      <c r="R14" s="105">
        <f t="shared" si="5"/>
        <v>0</v>
      </c>
      <c r="S14" s="106">
        <f t="shared" si="6"/>
        <v>1</v>
      </c>
      <c r="T14" s="105">
        <f t="shared" si="7"/>
        <v>2</v>
      </c>
      <c r="U14" s="106">
        <f t="shared" si="8"/>
        <v>2</v>
      </c>
      <c r="V14" s="105">
        <f t="shared" si="9"/>
        <v>0</v>
      </c>
      <c r="W14" s="2"/>
      <c r="X14" s="2"/>
      <c r="Y14" s="2"/>
      <c r="Z14" s="2"/>
      <c r="AA14" s="69">
        <v>12.0</v>
      </c>
      <c r="AB14" s="27" t="s">
        <v>37</v>
      </c>
      <c r="AC14" s="27">
        <v>0.0</v>
      </c>
      <c r="AD14" s="27">
        <v>0.0</v>
      </c>
      <c r="AE14" s="27">
        <v>0.0</v>
      </c>
      <c r="AF14" s="27">
        <v>2.0</v>
      </c>
      <c r="AG14" s="27">
        <v>1.0</v>
      </c>
      <c r="AH14" s="27">
        <v>6.0</v>
      </c>
      <c r="AI14" s="27">
        <v>-5.0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10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10"/>
      <c r="I16" s="40" t="s">
        <v>38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10"/>
      <c r="I17" s="40" t="s">
        <v>37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10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9"/>
      <c r="C19" s="30"/>
      <c r="D19" s="30"/>
      <c r="E19" s="40" t="s">
        <v>25</v>
      </c>
      <c r="F19" s="75"/>
      <c r="G19" s="75" t="s">
        <v>24</v>
      </c>
      <c r="H19" s="110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9"/>
      <c r="C20" s="16"/>
      <c r="D20" s="30"/>
      <c r="E20" s="40" t="s">
        <v>108</v>
      </c>
      <c r="F20" s="75"/>
      <c r="G20" s="75" t="s">
        <v>24</v>
      </c>
      <c r="H20" s="110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10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9"/>
      <c r="C22" s="30"/>
      <c r="D22" s="30"/>
      <c r="E22" s="40" t="s">
        <v>38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9"/>
      <c r="C23" s="30"/>
      <c r="D23" s="30"/>
      <c r="E23" s="40" t="s">
        <v>37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10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9"/>
      <c r="C25" s="30"/>
      <c r="D25" s="30"/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9"/>
      <c r="C26" s="30"/>
      <c r="D26" s="30"/>
      <c r="E26" s="40" t="s">
        <v>61</v>
      </c>
      <c r="F26" s="75"/>
      <c r="G26" s="75" t="s">
        <v>24</v>
      </c>
      <c r="H26" s="110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59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143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59</v>
      </c>
      <c r="F40" s="75"/>
      <c r="G40" s="75" t="s">
        <v>24</v>
      </c>
      <c r="H40" s="110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143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59</v>
      </c>
      <c r="F53" s="75"/>
      <c r="G53" s="75" t="s">
        <v>24</v>
      </c>
      <c r="H53" s="110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61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143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182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3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0</v>
      </c>
      <c r="S75" s="19">
        <f t="shared" ref="S75:S82" si="15">COUNTIFS(E$75:E$102,O75,K$75:K$102,0)+COUNTIFS(I$75:I$102,O75,L$75:L$102,0)</f>
        <v>0</v>
      </c>
      <c r="T75" s="17">
        <f t="shared" ref="T75:T82" si="16">SUMIF(E$75:E$102,O75,F$75:F$102)+SUMIF(I$75:I$102,O75,H$75:H$102)</f>
        <v>5</v>
      </c>
      <c r="U75" s="19">
        <f t="shared" ref="U75:U82" si="17">SUMIF(E$75:E$102,O75,H$75:H$102)+SUMIF(I$75:I$102,O75,F$75:F$102)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Tecnologias de Informação</v>
      </c>
      <c r="AC75" s="22">
        <v>4.0</v>
      </c>
      <c r="AD75" s="22">
        <v>1.0</v>
      </c>
      <c r="AE75" s="22">
        <v>1.0</v>
      </c>
      <c r="AF75" s="22">
        <v>0.0</v>
      </c>
      <c r="AG75" s="22">
        <v>5.0</v>
      </c>
      <c r="AH75" s="23">
        <v>2.0</v>
      </c>
      <c r="AI75" s="22">
        <v>3.0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95</v>
      </c>
      <c r="D76" s="59" t="s">
        <v>182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5" t="s">
        <v>112</v>
      </c>
      <c r="AB76" s="22" t="s">
        <v>188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95</v>
      </c>
      <c r="D77" s="59" t="s">
        <v>182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94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32</v>
      </c>
      <c r="AC77" s="22">
        <v>3.0</v>
      </c>
      <c r="AD77" s="22">
        <v>1.0</v>
      </c>
      <c r="AE77" s="22">
        <v>0.0</v>
      </c>
      <c r="AF77" s="22">
        <v>0.0</v>
      </c>
      <c r="AG77" s="22">
        <v>5.0</v>
      </c>
      <c r="AH77" s="23">
        <v>1.0</v>
      </c>
      <c r="AI77" s="22">
        <v>4.0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121</v>
      </c>
      <c r="F78" s="78"/>
      <c r="G78" s="75"/>
      <c r="H78" s="78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43</v>
      </c>
      <c r="AC78" s="22">
        <v>3.0</v>
      </c>
      <c r="AD78" s="22">
        <v>1.0</v>
      </c>
      <c r="AE78" s="22">
        <v>0.0</v>
      </c>
      <c r="AF78" s="22">
        <v>1.0</v>
      </c>
      <c r="AG78" s="22">
        <v>4.0</v>
      </c>
      <c r="AH78" s="23">
        <v>4.0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12"/>
      <c r="C79" s="16"/>
      <c r="D79" s="111"/>
      <c r="E79" s="14" t="s">
        <v>188</v>
      </c>
      <c r="F79" s="113"/>
      <c r="G79" s="75"/>
      <c r="H79" s="113"/>
      <c r="I79" s="14" t="s">
        <v>32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6" t="s">
        <v>43</v>
      </c>
      <c r="P79" s="17">
        <f t="shared" si="12"/>
        <v>3</v>
      </c>
      <c r="Q79" s="17">
        <f t="shared" si="13"/>
        <v>1</v>
      </c>
      <c r="R79" s="17">
        <f t="shared" si="14"/>
        <v>0</v>
      </c>
      <c r="S79" s="19">
        <f t="shared" si="15"/>
        <v>1</v>
      </c>
      <c r="T79" s="17">
        <f t="shared" si="16"/>
        <v>4</v>
      </c>
      <c r="U79" s="19">
        <f t="shared" si="17"/>
        <v>4</v>
      </c>
      <c r="V79" s="17">
        <f t="shared" si="18"/>
        <v>0</v>
      </c>
      <c r="W79" s="2"/>
      <c r="X79" s="2"/>
      <c r="Y79" s="2"/>
      <c r="Z79" s="2"/>
      <c r="AA79" s="21">
        <v>5.0</v>
      </c>
      <c r="AB79" s="22" t="s">
        <v>121</v>
      </c>
      <c r="AC79" s="22">
        <v>1.0</v>
      </c>
      <c r="AD79" s="22">
        <v>0.0</v>
      </c>
      <c r="AE79" s="22">
        <v>1.0</v>
      </c>
      <c r="AF79" s="22">
        <v>0.0</v>
      </c>
      <c r="AG79" s="22">
        <v>1.0</v>
      </c>
      <c r="AH79" s="23">
        <v>1.0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12"/>
      <c r="C80" s="16"/>
      <c r="D80" s="111"/>
      <c r="E80" s="40" t="s">
        <v>123</v>
      </c>
      <c r="F80" s="16"/>
      <c r="G80" s="75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1</v>
      </c>
      <c r="Q80" s="17">
        <f t="shared" si="13"/>
        <v>0</v>
      </c>
      <c r="R80" s="17">
        <f t="shared" si="14"/>
        <v>1</v>
      </c>
      <c r="S80" s="19">
        <f t="shared" si="15"/>
        <v>0</v>
      </c>
      <c r="T80" s="17">
        <f t="shared" si="16"/>
        <v>1</v>
      </c>
      <c r="U80" s="19">
        <f t="shared" si="17"/>
        <v>1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123</v>
      </c>
      <c r="AC80" s="22">
        <v>0.0</v>
      </c>
      <c r="AD80" s="22">
        <v>0.0</v>
      </c>
      <c r="AE80" s="22">
        <v>0.0</v>
      </c>
      <c r="AF80" s="22">
        <v>0.0</v>
      </c>
      <c r="AG80" s="22">
        <v>0.0</v>
      </c>
      <c r="AH80" s="23">
        <v>0.0</v>
      </c>
      <c r="AI80" s="22">
        <v>0.0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102</v>
      </c>
      <c r="D81" s="59" t="s">
        <v>182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94</v>
      </c>
      <c r="P81" s="17">
        <f t="shared" si="12"/>
        <v>4</v>
      </c>
      <c r="Q81" s="17">
        <f t="shared" si="13"/>
        <v>1</v>
      </c>
      <c r="R81" s="17">
        <f t="shared" si="14"/>
        <v>1</v>
      </c>
      <c r="S81" s="19">
        <f t="shared" si="15"/>
        <v>0</v>
      </c>
      <c r="T81" s="17">
        <f t="shared" si="16"/>
        <v>5</v>
      </c>
      <c r="U81" s="19">
        <f t="shared" si="17"/>
        <v>2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98</v>
      </c>
      <c r="D82" s="59" t="s">
        <v>182</v>
      </c>
      <c r="E82" s="14" t="s">
        <v>94</v>
      </c>
      <c r="F82" s="15">
        <v>1.0</v>
      </c>
      <c r="G82" s="75" t="s">
        <v>24</v>
      </c>
      <c r="H82" s="78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2</v>
      </c>
      <c r="T82" s="17">
        <f t="shared" si="16"/>
        <v>1</v>
      </c>
      <c r="U82" s="19">
        <f t="shared" si="17"/>
        <v>8</v>
      </c>
      <c r="V82" s="17">
        <f t="shared" si="18"/>
        <v>-7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2.0</v>
      </c>
      <c r="AG82" s="22">
        <v>1.0</v>
      </c>
      <c r="AH82" s="23">
        <v>8.0</v>
      </c>
      <c r="AI82" s="22">
        <v>-7.0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97"/>
      <c r="C83" s="12"/>
      <c r="D83" s="59"/>
      <c r="E83" s="14" t="s">
        <v>43</v>
      </c>
      <c r="F83" s="15"/>
      <c r="G83" s="75" t="s">
        <v>24</v>
      </c>
      <c r="H83" s="78"/>
      <c r="I83" s="14" t="s">
        <v>188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97"/>
      <c r="C84" s="12"/>
      <c r="D84" s="59"/>
      <c r="E84" s="14" t="s">
        <v>32</v>
      </c>
      <c r="F84" s="15"/>
      <c r="G84" s="75" t="s">
        <v>24</v>
      </c>
      <c r="H84" s="78"/>
      <c r="I84" s="14" t="s">
        <v>57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29"/>
      <c r="C85" s="16"/>
      <c r="D85" s="111"/>
      <c r="E85" s="14" t="s">
        <v>121</v>
      </c>
      <c r="F85" s="113"/>
      <c r="G85" s="75" t="s">
        <v>24</v>
      </c>
      <c r="H85" s="113"/>
      <c r="I85" s="14" t="s">
        <v>45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1"/>
      <c r="E86" s="40" t="s">
        <v>123</v>
      </c>
      <c r="F86" s="113"/>
      <c r="G86" s="75" t="s">
        <v>24</v>
      </c>
      <c r="H86" s="113"/>
      <c r="I86" s="14" t="s">
        <v>94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1"/>
      <c r="E87" s="14" t="s">
        <v>188</v>
      </c>
      <c r="F87" s="113"/>
      <c r="G87" s="75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57</v>
      </c>
      <c r="F88" s="113"/>
      <c r="G88" s="75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29"/>
      <c r="C89" s="16"/>
      <c r="D89" s="111"/>
      <c r="E89" s="40" t="s">
        <v>32</v>
      </c>
      <c r="F89" s="113"/>
      <c r="G89" s="75" t="s">
        <v>24</v>
      </c>
      <c r="H89" s="113"/>
      <c r="I89" s="40" t="s">
        <v>123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2"/>
      <c r="C90" s="16"/>
      <c r="D90" s="16"/>
      <c r="E90" s="14" t="s">
        <v>45</v>
      </c>
      <c r="F90" s="113"/>
      <c r="G90" s="75" t="s">
        <v>24</v>
      </c>
      <c r="H90" s="113"/>
      <c r="I90" s="14" t="s">
        <v>94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5">
        <v>5.0</v>
      </c>
      <c r="B91" s="29"/>
      <c r="C91" s="16"/>
      <c r="D91" s="16"/>
      <c r="E91" s="14" t="s">
        <v>94</v>
      </c>
      <c r="F91" s="113"/>
      <c r="G91" s="75" t="s">
        <v>24</v>
      </c>
      <c r="H91" s="113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5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5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5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2"/>
      <c r="C95" s="16"/>
      <c r="D95" s="111"/>
      <c r="E95" s="14" t="s">
        <v>188</v>
      </c>
      <c r="F95" s="113"/>
      <c r="G95" s="75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2"/>
      <c r="C96" s="16"/>
      <c r="D96" s="111"/>
      <c r="E96" s="14" t="s">
        <v>57</v>
      </c>
      <c r="F96" s="113"/>
      <c r="G96" s="75" t="s">
        <v>24</v>
      </c>
      <c r="H96" s="113"/>
      <c r="I96" s="14" t="s">
        <v>94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2"/>
      <c r="C97" s="16"/>
      <c r="D97" s="111"/>
      <c r="E97" s="14" t="s">
        <v>32</v>
      </c>
      <c r="F97" s="113"/>
      <c r="G97" s="75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2"/>
      <c r="C98" s="16"/>
      <c r="D98" s="111"/>
      <c r="E98" s="40" t="s">
        <v>43</v>
      </c>
      <c r="F98" s="113"/>
      <c r="G98" s="75" t="s">
        <v>24</v>
      </c>
      <c r="H98" s="113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2"/>
      <c r="C99" s="16"/>
      <c r="D99" s="111"/>
      <c r="E99" s="40" t="s">
        <v>123</v>
      </c>
      <c r="F99" s="113"/>
      <c r="G99" s="75" t="s">
        <v>24</v>
      </c>
      <c r="H99" s="113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2"/>
      <c r="C100" s="16"/>
      <c r="D100" s="111"/>
      <c r="E100" s="40" t="s">
        <v>45</v>
      </c>
      <c r="F100" s="113"/>
      <c r="G100" s="75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2"/>
      <c r="C101" s="16"/>
      <c r="D101" s="111"/>
      <c r="E101" s="14" t="s">
        <v>94</v>
      </c>
      <c r="F101" s="113"/>
      <c r="G101" s="75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2"/>
      <c r="C102" s="16"/>
      <c r="D102" s="111"/>
      <c r="E102" s="14" t="s">
        <v>121</v>
      </c>
      <c r="F102" s="113"/>
      <c r="G102" s="75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95</v>
      </c>
      <c r="D111" s="59" t="s">
        <v>182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1</v>
      </c>
      <c r="T111" s="17">
        <f t="shared" ref="T111:T119" si="25">SUMIF(E$111:E$155,O111,F$111:F$155)+SUMIF(I$111:I$155,O111,H$111:H$155)</f>
        <v>3</v>
      </c>
      <c r="U111" s="19">
        <f t="shared" ref="U111:U119" si="26">SUMIF(E$111:E$155,O111,H$111:H$155)+SUMIF(I$111:I$155,O111,F$111:F$155)</f>
        <v>8</v>
      </c>
      <c r="V111" s="17">
        <f t="shared" ref="V111:V119" si="27">T111-U111</f>
        <v>-5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6.0</v>
      </c>
      <c r="AD111" s="22">
        <v>2.0</v>
      </c>
      <c r="AE111" s="22">
        <v>0.0</v>
      </c>
      <c r="AF111" s="22">
        <v>0.0</v>
      </c>
      <c r="AG111" s="22">
        <v>14.0</v>
      </c>
      <c r="AH111" s="23">
        <v>0.0</v>
      </c>
      <c r="AI111" s="22">
        <v>14.0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98</v>
      </c>
      <c r="D112" s="59" t="s">
        <v>182</v>
      </c>
      <c r="E112" s="14" t="s">
        <v>56</v>
      </c>
      <c r="F112" s="78">
        <v>7.0</v>
      </c>
      <c r="G112" s="75" t="s">
        <v>24</v>
      </c>
      <c r="H112" s="78">
        <v>0.0</v>
      </c>
      <c r="I112" s="14" t="s">
        <v>110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1</v>
      </c>
      <c r="T112" s="17">
        <f t="shared" si="25"/>
        <v>1</v>
      </c>
      <c r="U112" s="19">
        <f t="shared" si="26"/>
        <v>3</v>
      </c>
      <c r="V112" s="17">
        <f t="shared" si="27"/>
        <v>-2</v>
      </c>
      <c r="W112" s="2"/>
      <c r="X112" s="2"/>
      <c r="Y112" s="2"/>
      <c r="Z112" s="2"/>
      <c r="AA112" s="95" t="s">
        <v>112</v>
      </c>
      <c r="AB112" s="22" t="s">
        <v>144</v>
      </c>
      <c r="AC112" s="22">
        <v>6.0</v>
      </c>
      <c r="AD112" s="22">
        <v>2.0</v>
      </c>
      <c r="AE112" s="22">
        <v>0.0</v>
      </c>
      <c r="AF112" s="22">
        <v>0.0</v>
      </c>
      <c r="AG112" s="22">
        <v>10.0</v>
      </c>
      <c r="AH112" s="23">
        <v>1.0</v>
      </c>
      <c r="AI112" s="22">
        <v>9.0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102</v>
      </c>
      <c r="D113" s="59" t="s">
        <v>182</v>
      </c>
      <c r="E113" s="14" t="s">
        <v>144</v>
      </c>
      <c r="F113" s="78">
        <v>6.0</v>
      </c>
      <c r="G113" s="75" t="s">
        <v>24</v>
      </c>
      <c r="H113" s="78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6</v>
      </c>
      <c r="Q113" s="17">
        <f t="shared" si="22"/>
        <v>2</v>
      </c>
      <c r="R113" s="19">
        <f t="shared" si="23"/>
        <v>0</v>
      </c>
      <c r="S113" s="19">
        <f t="shared" si="24"/>
        <v>0</v>
      </c>
      <c r="T113" s="17">
        <f t="shared" si="25"/>
        <v>14</v>
      </c>
      <c r="U113" s="19">
        <f t="shared" si="26"/>
        <v>0</v>
      </c>
      <c r="V113" s="17">
        <f t="shared" si="27"/>
        <v>14</v>
      </c>
      <c r="W113" s="2"/>
      <c r="X113" s="2"/>
      <c r="Y113" s="2"/>
      <c r="Z113" s="2"/>
      <c r="AA113" s="21">
        <v>3.0</v>
      </c>
      <c r="AB113" s="22" t="s">
        <v>31</v>
      </c>
      <c r="AC113" s="22">
        <v>6.0</v>
      </c>
      <c r="AD113" s="22">
        <v>2.0</v>
      </c>
      <c r="AE113" s="22">
        <v>0.0</v>
      </c>
      <c r="AF113" s="22">
        <v>0.0</v>
      </c>
      <c r="AG113" s="22">
        <v>11.0</v>
      </c>
      <c r="AH113" s="23">
        <v>3.0</v>
      </c>
      <c r="AI113" s="22">
        <v>8.0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98</v>
      </c>
      <c r="D114" s="59" t="s">
        <v>182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162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144</v>
      </c>
      <c r="P114" s="17">
        <f t="shared" si="21"/>
        <v>6</v>
      </c>
      <c r="Q114" s="17">
        <f t="shared" si="22"/>
        <v>2</v>
      </c>
      <c r="R114" s="19">
        <f t="shared" si="23"/>
        <v>0</v>
      </c>
      <c r="S114" s="19">
        <f t="shared" si="24"/>
        <v>0</v>
      </c>
      <c r="T114" s="17">
        <f t="shared" si="25"/>
        <v>10</v>
      </c>
      <c r="U114" s="19">
        <f t="shared" si="26"/>
        <v>1</v>
      </c>
      <c r="V114" s="17">
        <f t="shared" si="27"/>
        <v>9</v>
      </c>
      <c r="W114" s="2"/>
      <c r="X114" s="2"/>
      <c r="Y114" s="2"/>
      <c r="Z114" s="2"/>
      <c r="AA114" s="21">
        <v>4.0</v>
      </c>
      <c r="AB114" s="22" t="s">
        <v>162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1"/>
      <c r="E115" s="14" t="s">
        <v>55</v>
      </c>
      <c r="F115" s="113"/>
      <c r="G115" s="75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6</v>
      </c>
      <c r="Q115" s="17">
        <f t="shared" si="22"/>
        <v>2</v>
      </c>
      <c r="R115" s="19">
        <f t="shared" si="23"/>
        <v>0</v>
      </c>
      <c r="S115" s="19">
        <f t="shared" si="24"/>
        <v>0</v>
      </c>
      <c r="T115" s="17">
        <f t="shared" si="25"/>
        <v>11</v>
      </c>
      <c r="U115" s="19">
        <f t="shared" si="26"/>
        <v>3</v>
      </c>
      <c r="V115" s="17">
        <f t="shared" si="27"/>
        <v>8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1.0</v>
      </c>
      <c r="AG115" s="22">
        <v>3.0</v>
      </c>
      <c r="AH115" s="23">
        <v>8.0</v>
      </c>
      <c r="AI115" s="22">
        <v>-5.0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98</v>
      </c>
      <c r="D116" s="59" t="s">
        <v>182</v>
      </c>
      <c r="E116" s="40" t="s">
        <v>62</v>
      </c>
      <c r="F116" s="15">
        <v>0.0</v>
      </c>
      <c r="G116" s="75" t="s">
        <v>24</v>
      </c>
      <c r="H116" s="78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0</v>
      </c>
      <c r="Q116" s="17">
        <f t="shared" si="22"/>
        <v>0</v>
      </c>
      <c r="R116" s="19">
        <f t="shared" si="23"/>
        <v>0</v>
      </c>
      <c r="S116" s="19">
        <f t="shared" si="24"/>
        <v>1</v>
      </c>
      <c r="T116" s="17">
        <f t="shared" si="25"/>
        <v>2</v>
      </c>
      <c r="U116" s="19">
        <f t="shared" si="26"/>
        <v>6</v>
      </c>
      <c r="V116" s="17">
        <f t="shared" si="27"/>
        <v>-4</v>
      </c>
      <c r="W116" s="2"/>
      <c r="X116" s="2"/>
      <c r="Y116" s="2"/>
      <c r="Z116" s="2"/>
      <c r="AA116" s="21">
        <v>6.0</v>
      </c>
      <c r="AB116" s="22" t="s">
        <v>35</v>
      </c>
      <c r="AC116" s="22">
        <v>0.0</v>
      </c>
      <c r="AD116" s="22">
        <v>0.0</v>
      </c>
      <c r="AE116" s="22">
        <v>0.0</v>
      </c>
      <c r="AF116" s="22">
        <v>1.0</v>
      </c>
      <c r="AG116" s="22">
        <v>1.0</v>
      </c>
      <c r="AH116" s="23">
        <v>3.0</v>
      </c>
      <c r="AI116" s="22">
        <v>-2.0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162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0.0</v>
      </c>
      <c r="AD117" s="22">
        <v>0.0</v>
      </c>
      <c r="AE117" s="22">
        <v>0.0</v>
      </c>
      <c r="AF117" s="22">
        <v>1.0</v>
      </c>
      <c r="AG117" s="22">
        <v>2.0</v>
      </c>
      <c r="AH117" s="23">
        <v>6.0</v>
      </c>
      <c r="AI117" s="22">
        <v>-4.0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95</v>
      </c>
      <c r="D118" s="59" t="s">
        <v>182</v>
      </c>
      <c r="E118" s="14" t="s">
        <v>110</v>
      </c>
      <c r="F118" s="15">
        <v>1.0</v>
      </c>
      <c r="G118" s="75" t="s">
        <v>24</v>
      </c>
      <c r="H118" s="78">
        <v>4.0</v>
      </c>
      <c r="I118" s="14" t="s">
        <v>144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0</v>
      </c>
      <c r="Q118" s="17">
        <f t="shared" si="22"/>
        <v>0</v>
      </c>
      <c r="R118" s="19">
        <f t="shared" si="23"/>
        <v>0</v>
      </c>
      <c r="S118" s="19">
        <f t="shared" si="24"/>
        <v>2</v>
      </c>
      <c r="T118" s="17">
        <f t="shared" si="25"/>
        <v>0</v>
      </c>
      <c r="U118" s="19">
        <f t="shared" si="26"/>
        <v>13</v>
      </c>
      <c r="V118" s="17">
        <f t="shared" si="27"/>
        <v>-13</v>
      </c>
      <c r="W118" s="2"/>
      <c r="X118" s="2"/>
      <c r="Y118" s="2"/>
      <c r="Z118" s="2"/>
      <c r="AA118" s="21">
        <v>8.0</v>
      </c>
      <c r="AB118" s="22" t="s">
        <v>110</v>
      </c>
      <c r="AC118" s="22">
        <v>0.0</v>
      </c>
      <c r="AD118" s="22">
        <v>0.0</v>
      </c>
      <c r="AE118" s="22">
        <v>0.0</v>
      </c>
      <c r="AF118" s="22">
        <v>2.0</v>
      </c>
      <c r="AG118" s="22">
        <v>1.0</v>
      </c>
      <c r="AH118" s="23">
        <v>11.0</v>
      </c>
      <c r="AI118" s="22">
        <v>-10.0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110</v>
      </c>
      <c r="P119" s="17">
        <f t="shared" si="21"/>
        <v>0</v>
      </c>
      <c r="Q119" s="17">
        <f t="shared" si="22"/>
        <v>0</v>
      </c>
      <c r="R119" s="19">
        <f t="shared" si="23"/>
        <v>0</v>
      </c>
      <c r="S119" s="19">
        <f t="shared" si="24"/>
        <v>2</v>
      </c>
      <c r="T119" s="17">
        <f t="shared" si="25"/>
        <v>1</v>
      </c>
      <c r="U119" s="19">
        <f t="shared" si="26"/>
        <v>11</v>
      </c>
      <c r="V119" s="17">
        <f t="shared" si="27"/>
        <v>-10</v>
      </c>
      <c r="W119" s="2"/>
      <c r="X119" s="2"/>
      <c r="Y119" s="2"/>
      <c r="Z119" s="2"/>
      <c r="AA119" s="21">
        <v>9.0</v>
      </c>
      <c r="AB119" s="22" t="s">
        <v>60</v>
      </c>
      <c r="AC119" s="22">
        <v>0.0</v>
      </c>
      <c r="AD119" s="27">
        <v>0.0</v>
      </c>
      <c r="AE119" s="27">
        <v>0.0</v>
      </c>
      <c r="AF119" s="27">
        <v>2.0</v>
      </c>
      <c r="AG119" s="27">
        <v>0.0</v>
      </c>
      <c r="AH119" s="27">
        <v>13.0</v>
      </c>
      <c r="AI119" s="27">
        <v>-13.0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98</v>
      </c>
      <c r="D120" s="59" t="s">
        <v>182</v>
      </c>
      <c r="E120" s="14" t="s">
        <v>162</v>
      </c>
      <c r="F120" s="15">
        <v>6.0</v>
      </c>
      <c r="G120" s="75" t="s">
        <v>24</v>
      </c>
      <c r="H120" s="78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6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29"/>
      <c r="C121" s="16"/>
      <c r="D121" s="111"/>
      <c r="E121" s="14" t="s">
        <v>144</v>
      </c>
      <c r="F121" s="113"/>
      <c r="G121" s="75" t="s">
        <v>24</v>
      </c>
      <c r="H121" s="113"/>
      <c r="I121" s="14" t="s">
        <v>62</v>
      </c>
      <c r="J121" s="4"/>
      <c r="K121" s="4" t="str">
        <f t="shared" si="19"/>
        <v/>
      </c>
      <c r="L121" s="17" t="str">
        <f t="shared" si="20"/>
        <v/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106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29"/>
      <c r="C122" s="16"/>
      <c r="D122" s="111"/>
      <c r="E122" s="40" t="s">
        <v>56</v>
      </c>
      <c r="F122" s="113"/>
      <c r="G122" s="75" t="s">
        <v>24</v>
      </c>
      <c r="H122" s="113"/>
      <c r="I122" s="40" t="s">
        <v>35</v>
      </c>
      <c r="J122" s="4"/>
      <c r="K122" s="4" t="str">
        <f t="shared" si="19"/>
        <v/>
      </c>
      <c r="L122" s="17" t="str">
        <f t="shared" si="20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29"/>
      <c r="C123" s="16"/>
      <c r="D123" s="111"/>
      <c r="E123" s="14" t="s">
        <v>31</v>
      </c>
      <c r="F123" s="113"/>
      <c r="G123" s="75" t="s">
        <v>24</v>
      </c>
      <c r="H123" s="113"/>
      <c r="I123" s="14" t="s">
        <v>110</v>
      </c>
      <c r="J123" s="4"/>
      <c r="K123" s="4" t="str">
        <f t="shared" si="19"/>
        <v/>
      </c>
      <c r="L123" s="17" t="str">
        <f t="shared" si="20"/>
        <v/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29"/>
      <c r="C124" s="16"/>
      <c r="D124" s="111"/>
      <c r="E124" s="14" t="s">
        <v>55</v>
      </c>
      <c r="F124" s="113"/>
      <c r="G124" s="75" t="s">
        <v>24</v>
      </c>
      <c r="H124" s="113"/>
      <c r="I124" s="14" t="s">
        <v>60</v>
      </c>
      <c r="J124" s="4"/>
      <c r="K124" s="4" t="str">
        <f t="shared" si="19"/>
        <v/>
      </c>
      <c r="L124" s="17" t="str">
        <f t="shared" si="20"/>
        <v/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1"/>
      <c r="E125" s="40">
        <v>0.0</v>
      </c>
      <c r="F125" s="113"/>
      <c r="G125" s="75" t="s">
        <v>24</v>
      </c>
      <c r="H125" s="113"/>
      <c r="I125" s="40" t="s">
        <v>162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29"/>
      <c r="C126" s="16"/>
      <c r="D126" s="16"/>
      <c r="E126" s="14" t="s">
        <v>62</v>
      </c>
      <c r="F126" s="113"/>
      <c r="G126" s="75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29"/>
      <c r="C127" s="16"/>
      <c r="D127" s="16"/>
      <c r="E127" s="14" t="s">
        <v>35</v>
      </c>
      <c r="F127" s="113"/>
      <c r="G127" s="75" t="s">
        <v>24</v>
      </c>
      <c r="H127" s="113"/>
      <c r="I127" s="14" t="s">
        <v>144</v>
      </c>
      <c r="J127" s="4"/>
      <c r="K127" s="4" t="str">
        <f t="shared" si="19"/>
        <v/>
      </c>
      <c r="L127" s="17" t="str">
        <f t="shared" si="20"/>
        <v/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112"/>
      <c r="C128" s="16"/>
      <c r="D128" s="16"/>
      <c r="E128" s="14" t="s">
        <v>56</v>
      </c>
      <c r="F128" s="113"/>
      <c r="G128" s="75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29"/>
      <c r="C129" s="16"/>
      <c r="D129" s="16"/>
      <c r="E129" s="14" t="s">
        <v>110</v>
      </c>
      <c r="F129" s="113"/>
      <c r="G129" s="75" t="s">
        <v>24</v>
      </c>
      <c r="H129" s="113"/>
      <c r="I129" s="14" t="s">
        <v>55</v>
      </c>
      <c r="J129" s="4"/>
      <c r="K129" s="4" t="str">
        <f t="shared" si="19"/>
        <v/>
      </c>
      <c r="L129" s="17" t="str">
        <f t="shared" si="20"/>
        <v/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29"/>
      <c r="C130" s="16"/>
      <c r="D130" s="16"/>
      <c r="E130" s="40" t="s">
        <v>60</v>
      </c>
      <c r="F130" s="113"/>
      <c r="G130" s="75" t="s">
        <v>24</v>
      </c>
      <c r="H130" s="113"/>
      <c r="I130" s="40" t="s">
        <v>162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2"/>
      <c r="C131" s="16"/>
      <c r="D131" s="111"/>
      <c r="E131" s="14" t="s">
        <v>55</v>
      </c>
      <c r="F131" s="113"/>
      <c r="G131" s="75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2"/>
      <c r="C132" s="16"/>
      <c r="D132" s="111"/>
      <c r="E132" s="14" t="s">
        <v>31</v>
      </c>
      <c r="F132" s="113"/>
      <c r="G132" s="75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2"/>
      <c r="C133" s="16"/>
      <c r="D133" s="111"/>
      <c r="E133" s="14" t="s">
        <v>144</v>
      </c>
      <c r="F133" s="113"/>
      <c r="G133" s="75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2"/>
      <c r="C134" s="16"/>
      <c r="D134" s="111"/>
      <c r="E134" s="40" t="s">
        <v>162</v>
      </c>
      <c r="F134" s="113"/>
      <c r="G134" s="75" t="s">
        <v>24</v>
      </c>
      <c r="H134" s="113"/>
      <c r="I134" s="40" t="s">
        <v>110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2"/>
      <c r="C135" s="30"/>
      <c r="D135" s="111"/>
      <c r="E135" s="40">
        <v>0.0</v>
      </c>
      <c r="F135" s="113"/>
      <c r="G135" s="75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2"/>
      <c r="C136" s="16"/>
      <c r="D136" s="111"/>
      <c r="E136" s="40" t="s">
        <v>62</v>
      </c>
      <c r="F136" s="113"/>
      <c r="G136" s="75" t="s">
        <v>24</v>
      </c>
      <c r="H136" s="113"/>
      <c r="I136" s="40" t="s">
        <v>162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2"/>
      <c r="C137" s="16"/>
      <c r="D137" s="111"/>
      <c r="E137" s="14" t="s">
        <v>35</v>
      </c>
      <c r="F137" s="113"/>
      <c r="G137" s="75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2"/>
      <c r="C138" s="16"/>
      <c r="D138" s="111"/>
      <c r="E138" s="14" t="s">
        <v>56</v>
      </c>
      <c r="F138" s="113"/>
      <c r="G138" s="75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2"/>
      <c r="C139" s="16"/>
      <c r="D139" s="111"/>
      <c r="E139" s="14" t="s">
        <v>144</v>
      </c>
      <c r="F139" s="113"/>
      <c r="G139" s="75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2"/>
      <c r="C140" s="16"/>
      <c r="D140" s="111"/>
      <c r="E140" s="14" t="s">
        <v>110</v>
      </c>
      <c r="F140" s="113"/>
      <c r="G140" s="75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2"/>
      <c r="C141" s="16"/>
      <c r="D141" s="111"/>
      <c r="E141" s="14" t="s">
        <v>60</v>
      </c>
      <c r="F141" s="113"/>
      <c r="G141" s="75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2"/>
      <c r="C142" s="16"/>
      <c r="D142" s="111"/>
      <c r="E142" s="14" t="s">
        <v>162</v>
      </c>
      <c r="F142" s="113"/>
      <c r="G142" s="75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2"/>
      <c r="C143" s="16"/>
      <c r="D143" s="111"/>
      <c r="E143" s="14" t="s">
        <v>55</v>
      </c>
      <c r="F143" s="113"/>
      <c r="G143" s="75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2"/>
      <c r="C144" s="16"/>
      <c r="D144" s="111"/>
      <c r="E144" s="14" t="s">
        <v>31</v>
      </c>
      <c r="F144" s="113"/>
      <c r="G144" s="75" t="s">
        <v>24</v>
      </c>
      <c r="H144" s="113"/>
      <c r="I144" s="14" t="s">
        <v>144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1"/>
      <c r="E145" s="14">
        <v>0.0</v>
      </c>
      <c r="F145" s="113"/>
      <c r="G145" s="75" t="s">
        <v>24</v>
      </c>
      <c r="H145" s="113"/>
      <c r="I145" s="14" t="s">
        <v>110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1"/>
      <c r="E146" s="14" t="s">
        <v>62</v>
      </c>
      <c r="F146" s="113"/>
      <c r="G146" s="75" t="s">
        <v>24</v>
      </c>
      <c r="H146" s="113"/>
      <c r="I146" s="14" t="s">
        <v>110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1"/>
      <c r="E147" s="14" t="s">
        <v>35</v>
      </c>
      <c r="F147" s="113"/>
      <c r="G147" s="75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1"/>
      <c r="E148" s="14" t="s">
        <v>56</v>
      </c>
      <c r="F148" s="113"/>
      <c r="G148" s="75" t="s">
        <v>24</v>
      </c>
      <c r="H148" s="113"/>
      <c r="I148" s="14" t="s">
        <v>162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2"/>
      <c r="C149" s="16"/>
      <c r="D149" s="111"/>
      <c r="E149" s="14" t="s">
        <v>144</v>
      </c>
      <c r="F149" s="113"/>
      <c r="G149" s="75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1"/>
      <c r="E150" s="14" t="s">
        <v>31</v>
      </c>
      <c r="F150" s="113"/>
      <c r="G150" s="75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1"/>
      <c r="E151" s="14">
        <v>0.0</v>
      </c>
      <c r="F151" s="113"/>
      <c r="G151" s="75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2"/>
      <c r="C152" s="16"/>
      <c r="D152" s="111"/>
      <c r="E152" s="14" t="s">
        <v>110</v>
      </c>
      <c r="F152" s="113"/>
      <c r="G152" s="75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2"/>
      <c r="C153" s="16"/>
      <c r="D153" s="111"/>
      <c r="E153" s="14" t="s">
        <v>60</v>
      </c>
      <c r="F153" s="113"/>
      <c r="G153" s="75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2"/>
      <c r="C154" s="16"/>
      <c r="D154" s="111"/>
      <c r="E154" s="14" t="s">
        <v>162</v>
      </c>
      <c r="F154" s="113"/>
      <c r="G154" s="75" t="s">
        <v>24</v>
      </c>
      <c r="H154" s="113"/>
      <c r="I154" s="14" t="s">
        <v>144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2"/>
      <c r="C155" s="16"/>
      <c r="D155" s="111"/>
      <c r="E155" s="14" t="s">
        <v>55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192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193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7" t="s">
        <v>194</v>
      </c>
      <c r="I1" s="118"/>
      <c r="AA1" s="3"/>
      <c r="AB1" s="118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9"/>
      <c r="K3" s="120">
        <f t="shared" ref="K3:K68" si="1">IFS(F3=H3+2,3,F3=H3-2,0,F3=H3+1,2,F3=H3-1,1,F3="","")</f>
        <v>1</v>
      </c>
      <c r="L3" s="121">
        <f t="shared" ref="L3:L68" si="2">IFS(H3=F3+2,3,H3=F3-2,0,H3=F3+1,2,H3=F3-1,1,H3="","")</f>
        <v>2</v>
      </c>
      <c r="M3" s="119"/>
      <c r="N3" s="121">
        <v>1.0</v>
      </c>
      <c r="O3" s="122" t="s">
        <v>23</v>
      </c>
      <c r="P3" s="121">
        <f t="shared" ref="P3:P14" si="3">SUMIF(E$3:E$68,O3,K$3:K$68)+SUMIF(I$3:I$68,O3,L$3:L$68)</f>
        <v>7</v>
      </c>
      <c r="Q3" s="123">
        <f t="shared" ref="Q3:Q14" si="4">COUNTIFS(E$3:E$68,O3,K$3:K$68,2)+COUNTIFS(I$3:I$68,O3,L$3:L$68,2)+COUNTIFS(E$3:E$68,O3,K$3:K$68,3)+COUNTIFS(I$3:I$68,O3,L$3:L$68,3)</f>
        <v>2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5</v>
      </c>
      <c r="U3" s="124">
        <f t="shared" ref="U3:U14" si="7">SUMIF(E$3:E$68,O3,H$3:H$68)+SUMIF(I$3:I$68,O3,F$3:F$68)</f>
        <v>2</v>
      </c>
      <c r="V3" s="121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162</v>
      </c>
      <c r="P4" s="121">
        <f t="shared" si="3"/>
        <v>3</v>
      </c>
      <c r="Q4" s="123">
        <f t="shared" si="4"/>
        <v>1</v>
      </c>
      <c r="R4" s="123"/>
      <c r="S4" s="124">
        <f t="shared" si="5"/>
        <v>2</v>
      </c>
      <c r="T4" s="121">
        <f t="shared" si="6"/>
        <v>2</v>
      </c>
      <c r="U4" s="124">
        <f t="shared" si="7"/>
        <v>4</v>
      </c>
      <c r="V4" s="121">
        <f t="shared" si="8"/>
        <v>-2</v>
      </c>
      <c r="X4" s="108" t="s">
        <v>61</v>
      </c>
      <c r="Y4" s="108">
        <v>2.0</v>
      </c>
      <c r="AA4" s="21" t="s">
        <v>34</v>
      </c>
      <c r="AB4" s="63" t="s">
        <v>57</v>
      </c>
      <c r="AC4" s="22">
        <v>8.0</v>
      </c>
      <c r="AD4" s="22">
        <v>3.0</v>
      </c>
      <c r="AE4" s="22"/>
      <c r="AF4" s="23">
        <v>0.0</v>
      </c>
      <c r="AG4" s="22">
        <v>6.0</v>
      </c>
      <c r="AH4" s="23">
        <v>1.0</v>
      </c>
      <c r="AI4" s="22">
        <v>5.0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5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19"/>
      <c r="K5" s="120">
        <f t="shared" si="1"/>
        <v>0</v>
      </c>
      <c r="L5" s="121">
        <f t="shared" si="2"/>
        <v>3</v>
      </c>
      <c r="M5" s="119"/>
      <c r="N5" s="121">
        <v>3.0</v>
      </c>
      <c r="O5" s="122" t="s">
        <v>25</v>
      </c>
      <c r="P5" s="121">
        <f t="shared" si="3"/>
        <v>6</v>
      </c>
      <c r="Q5" s="123">
        <f t="shared" si="4"/>
        <v>2</v>
      </c>
      <c r="R5" s="123"/>
      <c r="S5" s="124">
        <f t="shared" si="5"/>
        <v>1</v>
      </c>
      <c r="T5" s="121">
        <f t="shared" si="6"/>
        <v>5</v>
      </c>
      <c r="U5" s="124">
        <f t="shared" si="7"/>
        <v>3</v>
      </c>
      <c r="V5" s="121">
        <f t="shared" si="8"/>
        <v>2</v>
      </c>
      <c r="X5" s="108" t="s">
        <v>31</v>
      </c>
      <c r="Y5" s="108">
        <v>1.0</v>
      </c>
      <c r="AA5" s="21" t="s">
        <v>39</v>
      </c>
      <c r="AB5" s="63" t="s">
        <v>23</v>
      </c>
      <c r="AC5" s="22">
        <v>7.0</v>
      </c>
      <c r="AD5" s="22">
        <v>2.0</v>
      </c>
      <c r="AE5" s="22"/>
      <c r="AF5" s="23">
        <v>1.0</v>
      </c>
      <c r="AG5" s="22">
        <v>5.0</v>
      </c>
      <c r="AH5" s="23">
        <v>2.0</v>
      </c>
      <c r="AI5" s="22">
        <v>3.0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111</v>
      </c>
      <c r="P6" s="121">
        <f t="shared" si="3"/>
        <v>3</v>
      </c>
      <c r="Q6" s="123">
        <f t="shared" si="4"/>
        <v>1</v>
      </c>
      <c r="R6" s="123"/>
      <c r="S6" s="124">
        <f t="shared" si="5"/>
        <v>2</v>
      </c>
      <c r="T6" s="121">
        <f t="shared" si="6"/>
        <v>2</v>
      </c>
      <c r="U6" s="124">
        <f t="shared" si="7"/>
        <v>4</v>
      </c>
      <c r="V6" s="121">
        <f t="shared" si="8"/>
        <v>-2</v>
      </c>
      <c r="AA6" s="21" t="s">
        <v>42</v>
      </c>
      <c r="AB6" s="63" t="s">
        <v>25</v>
      </c>
      <c r="AC6" s="22">
        <v>6.0</v>
      </c>
      <c r="AD6" s="22">
        <v>2.0</v>
      </c>
      <c r="AE6" s="22"/>
      <c r="AF6" s="23">
        <v>1.0</v>
      </c>
      <c r="AG6" s="22">
        <v>5.0</v>
      </c>
      <c r="AH6" s="23">
        <v>3.0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113</v>
      </c>
      <c r="P7" s="121">
        <f t="shared" si="3"/>
        <v>3</v>
      </c>
      <c r="Q7" s="123">
        <f t="shared" si="4"/>
        <v>1</v>
      </c>
      <c r="R7" s="123"/>
      <c r="S7" s="124">
        <f t="shared" si="5"/>
        <v>2</v>
      </c>
      <c r="T7" s="121">
        <f t="shared" si="6"/>
        <v>2</v>
      </c>
      <c r="U7" s="124">
        <f t="shared" si="7"/>
        <v>4</v>
      </c>
      <c r="V7" s="121">
        <f t="shared" si="8"/>
        <v>-2</v>
      </c>
      <c r="AA7" s="21" t="s">
        <v>44</v>
      </c>
      <c r="AB7" s="63" t="s">
        <v>43</v>
      </c>
      <c r="AC7" s="22">
        <v>5.0</v>
      </c>
      <c r="AD7" s="22">
        <v>2.0</v>
      </c>
      <c r="AE7" s="22"/>
      <c r="AF7" s="23">
        <v>1.0</v>
      </c>
      <c r="AG7" s="22">
        <v>4.0</v>
      </c>
      <c r="AH7" s="23">
        <v>3.0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9"/>
      <c r="K8" s="120">
        <f t="shared" si="1"/>
        <v>3</v>
      </c>
      <c r="L8" s="121">
        <f t="shared" si="2"/>
        <v>0</v>
      </c>
      <c r="M8" s="119"/>
      <c r="N8" s="121">
        <v>6.0</v>
      </c>
      <c r="O8" s="122" t="s">
        <v>37</v>
      </c>
      <c r="P8" s="121">
        <f t="shared" si="3"/>
        <v>9</v>
      </c>
      <c r="Q8" s="123">
        <f t="shared" si="4"/>
        <v>3</v>
      </c>
      <c r="R8" s="123"/>
      <c r="S8" s="124">
        <f t="shared" si="5"/>
        <v>0</v>
      </c>
      <c r="T8" s="121">
        <f t="shared" si="6"/>
        <v>6</v>
      </c>
      <c r="U8" s="124">
        <f t="shared" si="7"/>
        <v>0</v>
      </c>
      <c r="V8" s="121">
        <f t="shared" si="8"/>
        <v>6</v>
      </c>
      <c r="AA8" s="21" t="s">
        <v>47</v>
      </c>
      <c r="AB8" s="63" t="s">
        <v>162</v>
      </c>
      <c r="AC8" s="22">
        <v>3.0</v>
      </c>
      <c r="AD8" s="22">
        <v>1.0</v>
      </c>
      <c r="AE8" s="22"/>
      <c r="AF8" s="23">
        <v>2.0</v>
      </c>
      <c r="AG8" s="22">
        <v>2.0</v>
      </c>
      <c r="AH8" s="23">
        <v>4.0</v>
      </c>
      <c r="AI8" s="22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188</v>
      </c>
      <c r="P9" s="121">
        <f t="shared" si="3"/>
        <v>3</v>
      </c>
      <c r="Q9" s="123">
        <f t="shared" si="4"/>
        <v>1</v>
      </c>
      <c r="R9" s="123"/>
      <c r="S9" s="124">
        <f t="shared" si="5"/>
        <v>2</v>
      </c>
      <c r="T9" s="121">
        <f t="shared" si="6"/>
        <v>2</v>
      </c>
      <c r="U9" s="124">
        <f t="shared" si="7"/>
        <v>4</v>
      </c>
      <c r="V9" s="121">
        <f t="shared" si="8"/>
        <v>-2</v>
      </c>
      <c r="AA9" s="21">
        <v>7.0</v>
      </c>
      <c r="AB9" s="63" t="s">
        <v>111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9"/>
      <c r="K10" s="120">
        <f t="shared" si="1"/>
        <v>0</v>
      </c>
      <c r="L10" s="121">
        <f t="shared" si="2"/>
        <v>3</v>
      </c>
      <c r="M10" s="119"/>
      <c r="N10" s="121">
        <v>8.0</v>
      </c>
      <c r="O10" s="122" t="s">
        <v>32</v>
      </c>
      <c r="P10" s="121">
        <f t="shared" si="3"/>
        <v>3</v>
      </c>
      <c r="Q10" s="123">
        <f t="shared" si="4"/>
        <v>1</v>
      </c>
      <c r="R10" s="123"/>
      <c r="S10" s="124">
        <f t="shared" si="5"/>
        <v>2</v>
      </c>
      <c r="T10" s="121">
        <f t="shared" si="6"/>
        <v>3</v>
      </c>
      <c r="U10" s="124">
        <f t="shared" si="7"/>
        <v>5</v>
      </c>
      <c r="V10" s="121">
        <f t="shared" si="8"/>
        <v>-2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19"/>
      <c r="K11" s="120">
        <f t="shared" si="1"/>
        <v>0</v>
      </c>
      <c r="L11" s="121">
        <f t="shared" si="2"/>
        <v>3</v>
      </c>
      <c r="M11" s="119"/>
      <c r="N11" s="121">
        <v>9.0</v>
      </c>
      <c r="O11" s="122" t="s">
        <v>43</v>
      </c>
      <c r="P11" s="121">
        <f t="shared" si="3"/>
        <v>5</v>
      </c>
      <c r="Q11" s="123">
        <f t="shared" si="4"/>
        <v>2</v>
      </c>
      <c r="R11" s="123"/>
      <c r="S11" s="124">
        <f t="shared" si="5"/>
        <v>1</v>
      </c>
      <c r="T11" s="121">
        <f t="shared" si="6"/>
        <v>4</v>
      </c>
      <c r="U11" s="124">
        <f t="shared" si="7"/>
        <v>3</v>
      </c>
      <c r="V11" s="121">
        <f t="shared" si="8"/>
        <v>1</v>
      </c>
      <c r="AA11" s="95" t="s">
        <v>101</v>
      </c>
      <c r="AB11" s="63" t="s">
        <v>188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9"/>
      <c r="K12" s="120">
        <f t="shared" si="1"/>
        <v>2</v>
      </c>
      <c r="L12" s="121">
        <f t="shared" si="2"/>
        <v>1</v>
      </c>
      <c r="M12" s="119"/>
      <c r="N12" s="121">
        <v>10.0</v>
      </c>
      <c r="O12" s="126" t="s">
        <v>31</v>
      </c>
      <c r="P12" s="121">
        <f t="shared" si="3"/>
        <v>3</v>
      </c>
      <c r="Q12" s="123">
        <f t="shared" si="4"/>
        <v>1</v>
      </c>
      <c r="R12" s="123"/>
      <c r="S12" s="124">
        <f t="shared" si="5"/>
        <v>2</v>
      </c>
      <c r="T12" s="121">
        <f t="shared" si="6"/>
        <v>2</v>
      </c>
      <c r="U12" s="124">
        <f t="shared" si="7"/>
        <v>4</v>
      </c>
      <c r="V12" s="121">
        <f t="shared" si="8"/>
        <v>-2</v>
      </c>
      <c r="AA12" s="69">
        <v>10.0</v>
      </c>
      <c r="AB12" s="63" t="s">
        <v>32</v>
      </c>
      <c r="AC12" s="22">
        <v>3.0</v>
      </c>
      <c r="AD12" s="22">
        <v>1.0</v>
      </c>
      <c r="AE12" s="22"/>
      <c r="AF12" s="23">
        <v>2.0</v>
      </c>
      <c r="AG12" s="22">
        <v>3.0</v>
      </c>
      <c r="AH12" s="23">
        <v>5.0</v>
      </c>
      <c r="AI12" s="22">
        <v>-2.0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61</v>
      </c>
      <c r="P13" s="121">
        <f t="shared" si="3"/>
        <v>1</v>
      </c>
      <c r="Q13" s="123">
        <f t="shared" si="4"/>
        <v>0</v>
      </c>
      <c r="R13" s="123"/>
      <c r="S13" s="124">
        <f t="shared" si="5"/>
        <v>3</v>
      </c>
      <c r="T13" s="121">
        <f t="shared" si="6"/>
        <v>1</v>
      </c>
      <c r="U13" s="124">
        <f t="shared" si="7"/>
        <v>6</v>
      </c>
      <c r="V13" s="121">
        <f t="shared" si="8"/>
        <v>-5</v>
      </c>
      <c r="AA13" s="69">
        <v>11.0</v>
      </c>
      <c r="AB13" s="63" t="s">
        <v>31</v>
      </c>
      <c r="AC13" s="22">
        <v>3.0</v>
      </c>
      <c r="AD13" s="22">
        <v>1.0</v>
      </c>
      <c r="AE13" s="22"/>
      <c r="AF13" s="23">
        <v>2.0</v>
      </c>
      <c r="AG13" s="22">
        <v>2.0</v>
      </c>
      <c r="AH13" s="23">
        <v>4.0</v>
      </c>
      <c r="AI13" s="22">
        <v>-2.0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9"/>
      <c r="K14" s="120">
        <f t="shared" si="1"/>
        <v>3</v>
      </c>
      <c r="L14" s="121">
        <f t="shared" si="2"/>
        <v>0</v>
      </c>
      <c r="M14" s="119"/>
      <c r="N14" s="128">
        <v>12.0</v>
      </c>
      <c r="O14" s="127" t="s">
        <v>57</v>
      </c>
      <c r="P14" s="121">
        <f t="shared" si="3"/>
        <v>8</v>
      </c>
      <c r="Q14" s="123">
        <f t="shared" si="4"/>
        <v>3</v>
      </c>
      <c r="S14" s="124">
        <f t="shared" si="5"/>
        <v>0</v>
      </c>
      <c r="T14" s="121">
        <f t="shared" si="6"/>
        <v>6</v>
      </c>
      <c r="U14" s="124">
        <f t="shared" si="7"/>
        <v>1</v>
      </c>
      <c r="V14" s="121">
        <f t="shared" si="8"/>
        <v>5</v>
      </c>
      <c r="AA14" s="69">
        <v>12.0</v>
      </c>
      <c r="AB14" s="27" t="s">
        <v>61</v>
      </c>
      <c r="AC14" s="22">
        <v>1.0</v>
      </c>
      <c r="AD14" s="27">
        <v>0.0</v>
      </c>
      <c r="AE14" s="27"/>
      <c r="AF14" s="27">
        <v>3.0</v>
      </c>
      <c r="AG14" s="27">
        <v>1.0</v>
      </c>
      <c r="AH14" s="27">
        <v>6.0</v>
      </c>
      <c r="AI14" s="27">
        <v>-5.0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9"/>
      <c r="K15" s="120">
        <f t="shared" si="1"/>
        <v>3</v>
      </c>
      <c r="L15" s="121">
        <f t="shared" si="2"/>
        <v>0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9"/>
      <c r="K17" s="120">
        <f t="shared" si="1"/>
        <v>0</v>
      </c>
      <c r="L17" s="121">
        <f t="shared" si="2"/>
        <v>3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199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0"/>
      <c r="K18" s="120">
        <f t="shared" si="1"/>
        <v>2</v>
      </c>
      <c r="L18" s="121">
        <f t="shared" si="2"/>
        <v>1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162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142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</row>
    <row r="21" ht="15.75" customHeight="1">
      <c r="A21" s="10">
        <v>4.0</v>
      </c>
      <c r="B21" s="131"/>
      <c r="C21" s="132"/>
      <c r="D21" s="132"/>
      <c r="E21" s="14" t="s">
        <v>113</v>
      </c>
      <c r="F21" s="30"/>
      <c r="G21" s="30" t="s">
        <v>24</v>
      </c>
      <c r="H21" s="30"/>
      <c r="I21" s="14" t="s">
        <v>57</v>
      </c>
      <c r="J21" s="119"/>
      <c r="K21" s="120" t="str">
        <f t="shared" si="1"/>
        <v/>
      </c>
      <c r="L21" s="121" t="str">
        <f t="shared" si="2"/>
        <v/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</row>
    <row r="22" ht="15.75" customHeight="1">
      <c r="A22" s="24"/>
      <c r="B22" s="133"/>
      <c r="C22" s="132"/>
      <c r="D22" s="132"/>
      <c r="E22" s="14" t="s">
        <v>188</v>
      </c>
      <c r="F22" s="30"/>
      <c r="G22" s="30" t="s">
        <v>24</v>
      </c>
      <c r="H22" s="30"/>
      <c r="I22" s="14" t="s">
        <v>25</v>
      </c>
      <c r="J22" s="119"/>
      <c r="K22" s="120" t="str">
        <f t="shared" si="1"/>
        <v/>
      </c>
      <c r="L22" s="121" t="str">
        <f t="shared" si="2"/>
        <v/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</row>
    <row r="23" ht="15.75" customHeight="1">
      <c r="A23" s="24"/>
      <c r="B23" s="133"/>
      <c r="C23" s="132"/>
      <c r="D23" s="132"/>
      <c r="E23" s="14" t="s">
        <v>43</v>
      </c>
      <c r="F23" s="30"/>
      <c r="G23" s="30" t="s">
        <v>24</v>
      </c>
      <c r="H23" s="30"/>
      <c r="I23" s="14" t="s">
        <v>23</v>
      </c>
      <c r="J23" s="119"/>
      <c r="K23" s="120" t="str">
        <f t="shared" si="1"/>
        <v/>
      </c>
      <c r="L23" s="121" t="str">
        <f t="shared" si="2"/>
        <v/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</row>
    <row r="24" ht="15.75" customHeight="1">
      <c r="A24" s="24"/>
      <c r="B24" s="133"/>
      <c r="C24" s="132"/>
      <c r="D24" s="132"/>
      <c r="E24" s="14" t="s">
        <v>61</v>
      </c>
      <c r="F24" s="30"/>
      <c r="G24" s="30" t="s">
        <v>24</v>
      </c>
      <c r="H24" s="30"/>
      <c r="I24" s="14" t="s">
        <v>31</v>
      </c>
      <c r="J24" s="119"/>
      <c r="K24" s="120" t="str">
        <f t="shared" si="1"/>
        <v/>
      </c>
      <c r="L24" s="121" t="str">
        <f t="shared" si="2"/>
        <v/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</row>
    <row r="25" ht="15.75" customHeight="1">
      <c r="A25" s="24"/>
      <c r="B25" s="133"/>
      <c r="C25" s="132"/>
      <c r="D25" s="132"/>
      <c r="E25" s="14" t="s">
        <v>162</v>
      </c>
      <c r="F25" s="30"/>
      <c r="G25" s="30" t="s">
        <v>24</v>
      </c>
      <c r="H25" s="30"/>
      <c r="I25" s="14" t="s">
        <v>32</v>
      </c>
      <c r="J25" s="119"/>
      <c r="K25" s="120" t="str">
        <f t="shared" si="1"/>
        <v/>
      </c>
      <c r="L25" s="121" t="str">
        <f t="shared" si="2"/>
        <v/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33"/>
      <c r="C26" s="132"/>
      <c r="D26" s="132"/>
      <c r="E26" s="14" t="s">
        <v>111</v>
      </c>
      <c r="F26" s="30"/>
      <c r="G26" s="30" t="s">
        <v>24</v>
      </c>
      <c r="H26" s="30"/>
      <c r="I26" s="14" t="s">
        <v>37</v>
      </c>
      <c r="J26" s="119"/>
      <c r="K26" s="120" t="str">
        <f t="shared" si="1"/>
        <v/>
      </c>
      <c r="L26" s="121" t="str">
        <f t="shared" si="2"/>
        <v/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33"/>
      <c r="C27" s="132"/>
      <c r="D27" s="132"/>
      <c r="E27" s="14" t="s">
        <v>113</v>
      </c>
      <c r="F27" s="30"/>
      <c r="G27" s="30" t="s">
        <v>24</v>
      </c>
      <c r="H27" s="30"/>
      <c r="I27" s="14" t="s">
        <v>188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33"/>
      <c r="C28" s="132"/>
      <c r="D28" s="132"/>
      <c r="E28" s="14" t="s">
        <v>25</v>
      </c>
      <c r="F28" s="30"/>
      <c r="G28" s="30" t="s">
        <v>24</v>
      </c>
      <c r="H28" s="30"/>
      <c r="I28" s="14" t="s">
        <v>43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33"/>
      <c r="C29" s="132"/>
      <c r="D29" s="132"/>
      <c r="E29" s="14" t="s">
        <v>23</v>
      </c>
      <c r="F29" s="30"/>
      <c r="G29" s="30" t="s">
        <v>24</v>
      </c>
      <c r="H29" s="30"/>
      <c r="I29" s="14" t="s">
        <v>61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33"/>
      <c r="C30" s="132"/>
      <c r="D30" s="132"/>
      <c r="E30" s="14" t="s">
        <v>31</v>
      </c>
      <c r="F30" s="30"/>
      <c r="G30" s="30" t="s">
        <v>24</v>
      </c>
      <c r="H30" s="30"/>
      <c r="I30" s="14" t="s">
        <v>162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33"/>
      <c r="C31" s="132"/>
      <c r="D31" s="132"/>
      <c r="E31" s="14" t="s">
        <v>32</v>
      </c>
      <c r="F31" s="30"/>
      <c r="G31" s="30" t="s">
        <v>24</v>
      </c>
      <c r="H31" s="30"/>
      <c r="I31" s="14" t="s">
        <v>111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33"/>
      <c r="C32" s="132"/>
      <c r="D32" s="132"/>
      <c r="E32" s="14" t="s">
        <v>57</v>
      </c>
      <c r="F32" s="30"/>
      <c r="G32" s="30" t="s">
        <v>24</v>
      </c>
      <c r="H32" s="30"/>
      <c r="I32" s="14" t="s">
        <v>37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3"/>
      <c r="C33" s="134"/>
      <c r="D33" s="132"/>
      <c r="E33" s="14" t="s">
        <v>188</v>
      </c>
      <c r="F33" s="30"/>
      <c r="G33" s="30" t="s">
        <v>24</v>
      </c>
      <c r="H33" s="30"/>
      <c r="I33" s="14" t="s">
        <v>57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3"/>
      <c r="C34" s="134"/>
      <c r="D34" s="132"/>
      <c r="E34" s="14" t="s">
        <v>43</v>
      </c>
      <c r="F34" s="30"/>
      <c r="G34" s="30" t="s">
        <v>24</v>
      </c>
      <c r="H34" s="30"/>
      <c r="I34" s="14" t="s">
        <v>113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3"/>
      <c r="C35" s="134"/>
      <c r="D35" s="132"/>
      <c r="E35" s="14" t="s">
        <v>61</v>
      </c>
      <c r="F35" s="30"/>
      <c r="G35" s="30" t="s">
        <v>24</v>
      </c>
      <c r="H35" s="30"/>
      <c r="I35" s="14" t="s">
        <v>25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3"/>
      <c r="C36" s="134"/>
      <c r="D36" s="132"/>
      <c r="E36" s="14" t="s">
        <v>162</v>
      </c>
      <c r="F36" s="30"/>
      <c r="G36" s="30" t="s">
        <v>24</v>
      </c>
      <c r="H36" s="30"/>
      <c r="I36" s="14" t="s">
        <v>23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3"/>
      <c r="C37" s="134"/>
      <c r="D37" s="132"/>
      <c r="E37" s="14" t="s">
        <v>111</v>
      </c>
      <c r="F37" s="30"/>
      <c r="G37" s="30" t="s">
        <v>24</v>
      </c>
      <c r="H37" s="30"/>
      <c r="I37" s="14" t="s">
        <v>31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3"/>
      <c r="C38" s="134"/>
      <c r="D38" s="132"/>
      <c r="E38" s="14" t="s">
        <v>37</v>
      </c>
      <c r="F38" s="30"/>
      <c r="G38" s="30" t="s">
        <v>24</v>
      </c>
      <c r="H38" s="30"/>
      <c r="I38" s="14" t="s">
        <v>32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3"/>
      <c r="C39" s="132"/>
      <c r="D39" s="132"/>
      <c r="E39" s="14" t="s">
        <v>188</v>
      </c>
      <c r="F39" s="30"/>
      <c r="G39" s="30" t="s">
        <v>24</v>
      </c>
      <c r="H39" s="30"/>
      <c r="I39" s="14" t="s">
        <v>43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3"/>
      <c r="C40" s="132"/>
      <c r="D40" s="132"/>
      <c r="E40" s="14" t="s">
        <v>113</v>
      </c>
      <c r="F40" s="30"/>
      <c r="G40" s="30" t="s">
        <v>24</v>
      </c>
      <c r="H40" s="30"/>
      <c r="I40" s="14" t="s">
        <v>61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3"/>
      <c r="C41" s="132"/>
      <c r="D41" s="135"/>
      <c r="E41" s="40" t="s">
        <v>25</v>
      </c>
      <c r="F41" s="30"/>
      <c r="G41" s="30" t="s">
        <v>24</v>
      </c>
      <c r="H41" s="30"/>
      <c r="I41" s="40" t="s">
        <v>162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3"/>
      <c r="C42" s="132"/>
      <c r="D42" s="132"/>
      <c r="E42" s="14" t="s">
        <v>23</v>
      </c>
      <c r="F42" s="30"/>
      <c r="G42" s="30" t="s">
        <v>24</v>
      </c>
      <c r="H42" s="30"/>
      <c r="I42" s="14" t="s">
        <v>111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3"/>
      <c r="C43" s="132"/>
      <c r="D43" s="132"/>
      <c r="E43" s="14" t="s">
        <v>31</v>
      </c>
      <c r="F43" s="30"/>
      <c r="G43" s="30" t="s">
        <v>24</v>
      </c>
      <c r="H43" s="30"/>
      <c r="I43" s="14" t="s">
        <v>37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3"/>
      <c r="C44" s="132"/>
      <c r="D44" s="132"/>
      <c r="E44" s="14" t="s">
        <v>57</v>
      </c>
      <c r="F44" s="30"/>
      <c r="G44" s="30" t="s">
        <v>24</v>
      </c>
      <c r="H44" s="30"/>
      <c r="I44" s="14" t="s">
        <v>32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3"/>
      <c r="C45" s="134"/>
      <c r="D45" s="132"/>
      <c r="E45" s="14" t="s">
        <v>43</v>
      </c>
      <c r="F45" s="30"/>
      <c r="G45" s="30" t="s">
        <v>24</v>
      </c>
      <c r="H45" s="30"/>
      <c r="I45" s="14" t="s">
        <v>57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1"/>
      <c r="C46" s="134"/>
      <c r="D46" s="132"/>
      <c r="E46" s="14" t="s">
        <v>61</v>
      </c>
      <c r="F46" s="30"/>
      <c r="G46" s="30" t="s">
        <v>24</v>
      </c>
      <c r="H46" s="30"/>
      <c r="I46" s="14" t="s">
        <v>188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1"/>
      <c r="C47" s="134"/>
      <c r="D47" s="132"/>
      <c r="E47" s="14" t="s">
        <v>162</v>
      </c>
      <c r="F47" s="30"/>
      <c r="G47" s="30" t="s">
        <v>24</v>
      </c>
      <c r="H47" s="30"/>
      <c r="I47" s="14" t="s">
        <v>113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1"/>
      <c r="C48" s="134"/>
      <c r="D48" s="132"/>
      <c r="E48" s="40" t="s">
        <v>111</v>
      </c>
      <c r="F48" s="30"/>
      <c r="G48" s="30" t="s">
        <v>24</v>
      </c>
      <c r="H48" s="30"/>
      <c r="I48" s="40" t="s">
        <v>25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1"/>
      <c r="C49" s="134"/>
      <c r="D49" s="132"/>
      <c r="E49" s="40" t="s">
        <v>37</v>
      </c>
      <c r="F49" s="30"/>
      <c r="G49" s="30" t="s">
        <v>24</v>
      </c>
      <c r="H49" s="30"/>
      <c r="I49" s="40" t="s">
        <v>23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1"/>
      <c r="C50" s="134"/>
      <c r="D50" s="132"/>
      <c r="E50" s="14" t="s">
        <v>32</v>
      </c>
      <c r="F50" s="30"/>
      <c r="G50" s="30" t="s">
        <v>24</v>
      </c>
      <c r="H50" s="30"/>
      <c r="I50" s="14" t="s">
        <v>31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3"/>
      <c r="C51" s="134"/>
      <c r="D51" s="132"/>
      <c r="E51" s="14" t="s">
        <v>43</v>
      </c>
      <c r="F51" s="132"/>
      <c r="G51" s="30" t="s">
        <v>24</v>
      </c>
      <c r="H51" s="30"/>
      <c r="I51" s="14" t="s">
        <v>61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3"/>
      <c r="C52" s="134"/>
      <c r="D52" s="132"/>
      <c r="E52" s="14" t="s">
        <v>188</v>
      </c>
      <c r="F52" s="132"/>
      <c r="G52" s="30" t="s">
        <v>24</v>
      </c>
      <c r="H52" s="30"/>
      <c r="I52" s="14" t="s">
        <v>162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3"/>
      <c r="C53" s="134"/>
      <c r="D53" s="132"/>
      <c r="E53" s="14" t="s">
        <v>113</v>
      </c>
      <c r="F53" s="132"/>
      <c r="G53" s="30" t="s">
        <v>24</v>
      </c>
      <c r="H53" s="30"/>
      <c r="I53" s="14" t="s">
        <v>111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3"/>
      <c r="C54" s="134"/>
      <c r="D54" s="132"/>
      <c r="E54" s="14" t="s">
        <v>25</v>
      </c>
      <c r="F54" s="132"/>
      <c r="G54" s="30" t="s">
        <v>24</v>
      </c>
      <c r="H54" s="30"/>
      <c r="I54" s="14" t="s">
        <v>37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3"/>
      <c r="C55" s="134"/>
      <c r="D55" s="132"/>
      <c r="E55" s="14" t="s">
        <v>23</v>
      </c>
      <c r="F55" s="132"/>
      <c r="G55" s="30" t="s">
        <v>24</v>
      </c>
      <c r="H55" s="30"/>
      <c r="I55" s="14" t="s">
        <v>32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3"/>
      <c r="C56" s="134"/>
      <c r="D56" s="132"/>
      <c r="E56" s="14" t="s">
        <v>57</v>
      </c>
      <c r="F56" s="132"/>
      <c r="G56" s="30" t="s">
        <v>24</v>
      </c>
      <c r="H56" s="30"/>
      <c r="I56" s="14" t="s">
        <v>31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1"/>
      <c r="C57" s="132"/>
      <c r="D57" s="132"/>
      <c r="E57" s="14" t="s">
        <v>57</v>
      </c>
      <c r="F57" s="30"/>
      <c r="G57" s="30" t="s">
        <v>24</v>
      </c>
      <c r="H57" s="30"/>
      <c r="I57" s="14" t="s">
        <v>61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3"/>
      <c r="C58" s="132"/>
      <c r="D58" s="132"/>
      <c r="E58" s="14" t="s">
        <v>162</v>
      </c>
      <c r="F58" s="30"/>
      <c r="G58" s="30" t="s">
        <v>24</v>
      </c>
      <c r="H58" s="30"/>
      <c r="I58" s="14" t="s">
        <v>43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3"/>
      <c r="C59" s="132"/>
      <c r="D59" s="132"/>
      <c r="E59" s="14" t="s">
        <v>111</v>
      </c>
      <c r="F59" s="30"/>
      <c r="G59" s="30" t="s">
        <v>24</v>
      </c>
      <c r="H59" s="30"/>
      <c r="I59" s="14" t="s">
        <v>188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3"/>
      <c r="C60" s="132"/>
      <c r="D60" s="132"/>
      <c r="E60" s="14" t="s">
        <v>37</v>
      </c>
      <c r="F60" s="30"/>
      <c r="G60" s="30" t="s">
        <v>24</v>
      </c>
      <c r="H60" s="30"/>
      <c r="I60" s="14" t="s">
        <v>113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3"/>
      <c r="C61" s="132"/>
      <c r="D61" s="132"/>
      <c r="E61" s="14" t="s">
        <v>32</v>
      </c>
      <c r="F61" s="30"/>
      <c r="G61" s="30" t="s">
        <v>24</v>
      </c>
      <c r="H61" s="30"/>
      <c r="I61" s="14" t="s">
        <v>25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3"/>
      <c r="C62" s="132"/>
      <c r="D62" s="132"/>
      <c r="E62" s="14" t="s">
        <v>31</v>
      </c>
      <c r="F62" s="30"/>
      <c r="G62" s="30" t="s">
        <v>24</v>
      </c>
      <c r="H62" s="30"/>
      <c r="I62" s="14" t="s">
        <v>23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3"/>
      <c r="C63" s="134"/>
      <c r="D63" s="132"/>
      <c r="E63" s="14" t="s">
        <v>61</v>
      </c>
      <c r="F63" s="30"/>
      <c r="G63" s="30" t="s">
        <v>24</v>
      </c>
      <c r="H63" s="30"/>
      <c r="I63" s="14" t="s">
        <v>162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3"/>
      <c r="C64" s="134"/>
      <c r="D64" s="132"/>
      <c r="E64" s="14" t="s">
        <v>43</v>
      </c>
      <c r="F64" s="30"/>
      <c r="G64" s="30" t="s">
        <v>24</v>
      </c>
      <c r="H64" s="30"/>
      <c r="I64" s="14" t="s">
        <v>111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3"/>
      <c r="C65" s="134"/>
      <c r="D65" s="132"/>
      <c r="E65" s="14" t="s">
        <v>188</v>
      </c>
      <c r="F65" s="30"/>
      <c r="G65" s="30" t="s">
        <v>24</v>
      </c>
      <c r="H65" s="30"/>
      <c r="I65" s="14" t="s">
        <v>37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3"/>
      <c r="C66" s="134"/>
      <c r="D66" s="132"/>
      <c r="E66" s="14" t="s">
        <v>113</v>
      </c>
      <c r="F66" s="30"/>
      <c r="G66" s="30" t="s">
        <v>24</v>
      </c>
      <c r="H66" s="30"/>
      <c r="I66" s="14" t="s">
        <v>32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3"/>
      <c r="C67" s="134"/>
      <c r="D67" s="132"/>
      <c r="E67" s="14" t="s">
        <v>25</v>
      </c>
      <c r="F67" s="30"/>
      <c r="G67" s="30" t="s">
        <v>24</v>
      </c>
      <c r="H67" s="30"/>
      <c r="I67" s="14" t="s">
        <v>31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1"/>
      <c r="C68" s="134"/>
      <c r="D68" s="132"/>
      <c r="E68" s="14" t="s">
        <v>23</v>
      </c>
      <c r="F68" s="13"/>
      <c r="G68" s="30" t="s">
        <v>24</v>
      </c>
      <c r="H68" s="13"/>
      <c r="I68" s="14" t="s">
        <v>57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</row>
    <row r="72" ht="15.75" customHeight="1">
      <c r="A72" s="117" t="s">
        <v>200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145</v>
      </c>
      <c r="J74" s="119"/>
      <c r="K74" s="120">
        <f t="shared" ref="K74:K139" si="9">IFS(F74=H74+2,3,F74=H74-2,0,F74=H74+1,2,F74=H74-1,1,F74="","")</f>
        <v>1</v>
      </c>
      <c r="L74" s="121">
        <f t="shared" ref="L74:L139" si="10">IFS(H74=F74+2,3,H74=F74-2,0,H74=F74+1,2,H74=F74-1,1,H74="","")</f>
        <v>2</v>
      </c>
      <c r="M74" s="119"/>
      <c r="N74" s="121">
        <v>1.0</v>
      </c>
      <c r="O74" s="122" t="s">
        <v>40</v>
      </c>
      <c r="P74" s="121">
        <f t="shared" ref="P74:P84" si="11">SUMIF(E$74:E$139,O74,K$74:K$139)+SUMIF(I$74:I$139,O74,L$74:L$139)</f>
        <v>2</v>
      </c>
      <c r="Q74" s="123">
        <f t="shared" ref="Q74:Q84" si="12">COUNTIFS(E$74:E$139,O74,K$74:K$139,2)+COUNTIFS(I$74:I$139,O74,L$74:L$139,2)+COUNTIFS(E$74:E$139,O74,K$74:K$139,3)+COUNTIFS(I$74:I$139,O74,L$74:L$139,3)</f>
        <v>0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3</v>
      </c>
      <c r="T74" s="121">
        <f t="shared" ref="T74:T84" si="14">SUMIF(E$74:E$139,O74,F$74:F$139)+SUMIF(I$74:I$139,O74,H$74:H$139)</f>
        <v>2</v>
      </c>
      <c r="U74" s="124">
        <f t="shared" ref="U74:U84" si="15">SUMIF(E$74:E$139,O74,H$74:H$139)+SUMIF(I$74:I$139,O74,F$74:F$139)</f>
        <v>6</v>
      </c>
      <c r="V74" s="121">
        <f t="shared" ref="V74:V84" si="16">T74-U74</f>
        <v>-4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9"/>
      <c r="K75" s="120">
        <f t="shared" si="9"/>
        <v>3</v>
      </c>
      <c r="L75" s="121">
        <f t="shared" si="10"/>
        <v>0</v>
      </c>
      <c r="M75" s="119"/>
      <c r="N75" s="121">
        <v>2.0</v>
      </c>
      <c r="O75" s="122" t="s">
        <v>41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1</v>
      </c>
      <c r="T75" s="121">
        <f t="shared" si="14"/>
        <v>2</v>
      </c>
      <c r="U75" s="124">
        <f t="shared" si="15"/>
        <v>2</v>
      </c>
      <c r="V75" s="121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9.0</v>
      </c>
      <c r="AD75" s="22">
        <v>3.0</v>
      </c>
      <c r="AE75" s="23"/>
      <c r="AF75" s="23">
        <v>0.0</v>
      </c>
      <c r="AG75" s="22">
        <v>6.0</v>
      </c>
      <c r="AH75" s="23">
        <v>0.0</v>
      </c>
      <c r="AI75" s="22">
        <v>6.0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134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145</v>
      </c>
      <c r="P76" s="121">
        <f t="shared" si="11"/>
        <v>5</v>
      </c>
      <c r="Q76" s="123">
        <f t="shared" si="12"/>
        <v>2</v>
      </c>
      <c r="R76" s="124"/>
      <c r="S76" s="124">
        <f t="shared" si="13"/>
        <v>0</v>
      </c>
      <c r="T76" s="121">
        <f t="shared" si="14"/>
        <v>4</v>
      </c>
      <c r="U76" s="124">
        <f t="shared" si="15"/>
        <v>1</v>
      </c>
      <c r="V76" s="121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145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9"/>
      <c r="K77" s="120">
        <f t="shared" si="9"/>
        <v>2</v>
      </c>
      <c r="L77" s="121">
        <f t="shared" si="10"/>
        <v>1</v>
      </c>
      <c r="M77" s="119"/>
      <c r="N77" s="121">
        <v>4.0</v>
      </c>
      <c r="O77" s="122" t="s">
        <v>116</v>
      </c>
      <c r="P77" s="121">
        <f t="shared" si="11"/>
        <v>3</v>
      </c>
      <c r="Q77" s="123">
        <f t="shared" si="12"/>
        <v>1</v>
      </c>
      <c r="R77" s="124"/>
      <c r="S77" s="124">
        <f t="shared" si="13"/>
        <v>1</v>
      </c>
      <c r="T77" s="121">
        <f t="shared" si="14"/>
        <v>2</v>
      </c>
      <c r="U77" s="124">
        <f t="shared" si="15"/>
        <v>2</v>
      </c>
      <c r="V77" s="121">
        <f t="shared" si="16"/>
        <v>0</v>
      </c>
      <c r="AA77" s="21">
        <v>4.0</v>
      </c>
      <c r="AB77" s="63" t="s">
        <v>201</v>
      </c>
      <c r="AC77" s="22">
        <v>4.0</v>
      </c>
      <c r="AD77" s="22">
        <v>1.0</v>
      </c>
      <c r="AE77" s="23"/>
      <c r="AF77" s="23">
        <v>2.0</v>
      </c>
      <c r="AG77" s="22">
        <v>3.0</v>
      </c>
      <c r="AH77" s="23">
        <v>4.0</v>
      </c>
      <c r="AI77" s="22">
        <v>-1.0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9"/>
      <c r="K78" s="120">
        <f t="shared" si="9"/>
        <v>0</v>
      </c>
      <c r="L78" s="121">
        <f t="shared" si="10"/>
        <v>3</v>
      </c>
      <c r="M78" s="119"/>
      <c r="N78" s="121">
        <v>5.0</v>
      </c>
      <c r="O78" s="122" t="s">
        <v>60</v>
      </c>
      <c r="P78" s="121">
        <f t="shared" si="11"/>
        <v>3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2</v>
      </c>
      <c r="U78" s="124">
        <f t="shared" si="15"/>
        <v>4</v>
      </c>
      <c r="V78" s="121">
        <f t="shared" si="16"/>
        <v>-2</v>
      </c>
      <c r="AA78" s="21">
        <v>5.0</v>
      </c>
      <c r="AB78" s="63" t="s">
        <v>41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33"/>
      <c r="C79" s="134"/>
      <c r="D79" s="132"/>
      <c r="E79" s="14">
        <v>0.0</v>
      </c>
      <c r="F79" s="30"/>
      <c r="G79" s="30" t="s">
        <v>24</v>
      </c>
      <c r="H79" s="30"/>
      <c r="I79" s="14" t="s">
        <v>41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65</v>
      </c>
      <c r="P79" s="121">
        <f t="shared" si="11"/>
        <v>2</v>
      </c>
      <c r="Q79" s="123">
        <f t="shared" si="12"/>
        <v>1</v>
      </c>
      <c r="R79" s="124"/>
      <c r="S79" s="124">
        <f t="shared" si="13"/>
        <v>2</v>
      </c>
      <c r="T79" s="121">
        <f t="shared" si="14"/>
        <v>2</v>
      </c>
      <c r="U79" s="124">
        <f t="shared" si="15"/>
        <v>5</v>
      </c>
      <c r="V79" s="121">
        <f t="shared" si="16"/>
        <v>-3</v>
      </c>
      <c r="AA79" s="21">
        <v>6.0</v>
      </c>
      <c r="AB79" s="63" t="s">
        <v>116</v>
      </c>
      <c r="AC79" s="22">
        <v>3.0</v>
      </c>
      <c r="AD79" s="22">
        <v>1.0</v>
      </c>
      <c r="AE79" s="23"/>
      <c r="AF79" s="23">
        <v>1.0</v>
      </c>
      <c r="AG79" s="22">
        <v>2.0</v>
      </c>
      <c r="AH79" s="23">
        <v>2.0</v>
      </c>
      <c r="AI79" s="22">
        <v>0.0</v>
      </c>
    </row>
    <row r="80" ht="15.75" customHeight="1">
      <c r="A80" s="58">
        <v>2.0</v>
      </c>
      <c r="B80" s="133"/>
      <c r="C80" s="134"/>
      <c r="D80" s="132"/>
      <c r="E80" s="14" t="s">
        <v>145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134</v>
      </c>
      <c r="P80" s="121">
        <f t="shared" si="11"/>
        <v>2</v>
      </c>
      <c r="Q80" s="123">
        <f t="shared" si="12"/>
        <v>1</v>
      </c>
      <c r="R80" s="124"/>
      <c r="S80" s="124">
        <f t="shared" si="13"/>
        <v>2</v>
      </c>
      <c r="T80" s="121">
        <f t="shared" si="14"/>
        <v>2</v>
      </c>
      <c r="U80" s="124">
        <f t="shared" si="15"/>
        <v>5</v>
      </c>
      <c r="V80" s="121">
        <f t="shared" si="16"/>
        <v>-3</v>
      </c>
      <c r="AA80" s="21">
        <v>7.0</v>
      </c>
      <c r="AB80" s="63" t="s">
        <v>60</v>
      </c>
      <c r="AC80" s="22">
        <v>3.0</v>
      </c>
      <c r="AD80" s="22">
        <v>1.0</v>
      </c>
      <c r="AE80" s="23"/>
      <c r="AF80" s="23">
        <v>2.0</v>
      </c>
      <c r="AG80" s="22">
        <v>2.0</v>
      </c>
      <c r="AH80" s="23">
        <v>4.0</v>
      </c>
      <c r="AI80" s="22">
        <v>-2.0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9"/>
      <c r="K81" s="120">
        <f t="shared" si="9"/>
        <v>3</v>
      </c>
      <c r="L81" s="121">
        <f t="shared" si="10"/>
        <v>0</v>
      </c>
      <c r="M81" s="119"/>
      <c r="N81" s="121">
        <v>8.0</v>
      </c>
      <c r="O81" s="122" t="s">
        <v>201</v>
      </c>
      <c r="P81" s="121">
        <f t="shared" si="11"/>
        <v>4</v>
      </c>
      <c r="Q81" s="123">
        <f t="shared" si="12"/>
        <v>1</v>
      </c>
      <c r="R81" s="124"/>
      <c r="S81" s="124">
        <f t="shared" si="13"/>
        <v>2</v>
      </c>
      <c r="T81" s="121">
        <f t="shared" si="14"/>
        <v>3</v>
      </c>
      <c r="U81" s="124">
        <f t="shared" si="15"/>
        <v>4</v>
      </c>
      <c r="V81" s="121">
        <f t="shared" si="16"/>
        <v>-1</v>
      </c>
      <c r="AA81" s="21">
        <v>8.0</v>
      </c>
      <c r="AB81" s="63" t="s">
        <v>108</v>
      </c>
      <c r="AC81" s="22">
        <v>3.0</v>
      </c>
      <c r="AD81" s="22">
        <v>1.0</v>
      </c>
      <c r="AE81" s="23"/>
      <c r="AF81" s="23">
        <v>2.0</v>
      </c>
      <c r="AG81" s="22">
        <v>3.0</v>
      </c>
      <c r="AH81" s="23">
        <v>5.0</v>
      </c>
      <c r="AI81" s="22">
        <v>-2.0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108</v>
      </c>
      <c r="P82" s="121">
        <f t="shared" si="11"/>
        <v>3</v>
      </c>
      <c r="Q82" s="123">
        <f t="shared" si="12"/>
        <v>1</v>
      </c>
      <c r="R82" s="124"/>
      <c r="S82" s="124">
        <f t="shared" si="13"/>
        <v>2</v>
      </c>
      <c r="T82" s="121">
        <f t="shared" si="14"/>
        <v>3</v>
      </c>
      <c r="U82" s="124">
        <f t="shared" si="15"/>
        <v>5</v>
      </c>
      <c r="V82" s="121">
        <f t="shared" si="16"/>
        <v>-2</v>
      </c>
      <c r="AA82" s="21">
        <v>9.0</v>
      </c>
      <c r="AB82" s="63" t="s">
        <v>65</v>
      </c>
      <c r="AC82" s="22">
        <v>2.0</v>
      </c>
      <c r="AD82" s="22">
        <v>1.0</v>
      </c>
      <c r="AE82" s="23"/>
      <c r="AF82" s="23">
        <v>2.0</v>
      </c>
      <c r="AG82" s="22">
        <v>2.0</v>
      </c>
      <c r="AH82" s="23">
        <v>5.0</v>
      </c>
      <c r="AI82" s="22">
        <v>-3.0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201</v>
      </c>
      <c r="J83" s="119"/>
      <c r="K83" s="120">
        <f t="shared" si="9"/>
        <v>2</v>
      </c>
      <c r="L83" s="121">
        <f t="shared" si="10"/>
        <v>1</v>
      </c>
      <c r="M83" s="119"/>
      <c r="N83" s="121">
        <v>10.0</v>
      </c>
      <c r="O83" s="122" t="s">
        <v>159</v>
      </c>
      <c r="P83" s="121">
        <f t="shared" si="11"/>
        <v>9</v>
      </c>
      <c r="Q83" s="123">
        <f t="shared" si="12"/>
        <v>3</v>
      </c>
      <c r="R83" s="124"/>
      <c r="S83" s="124">
        <f t="shared" si="13"/>
        <v>0</v>
      </c>
      <c r="T83" s="121">
        <f t="shared" si="14"/>
        <v>6</v>
      </c>
      <c r="U83" s="124">
        <f t="shared" si="15"/>
        <v>0</v>
      </c>
      <c r="V83" s="121">
        <f t="shared" si="16"/>
        <v>6</v>
      </c>
      <c r="AA83" s="21">
        <v>10.0</v>
      </c>
      <c r="AB83" s="63" t="s">
        <v>134</v>
      </c>
      <c r="AC83" s="22">
        <v>2.0</v>
      </c>
      <c r="AD83" s="22">
        <v>1.0</v>
      </c>
      <c r="AE83" s="23"/>
      <c r="AF83" s="23">
        <v>2.0</v>
      </c>
      <c r="AG83" s="22">
        <v>2.0</v>
      </c>
      <c r="AH83" s="23">
        <v>5.0</v>
      </c>
      <c r="AI83" s="22">
        <v>-3.0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64</v>
      </c>
      <c r="P84" s="121">
        <f t="shared" si="11"/>
        <v>9</v>
      </c>
      <c r="Q84" s="123">
        <f t="shared" si="12"/>
        <v>3</v>
      </c>
      <c r="S84" s="124">
        <f t="shared" si="13"/>
        <v>0</v>
      </c>
      <c r="T84" s="121">
        <f t="shared" si="14"/>
        <v>6</v>
      </c>
      <c r="U84" s="124">
        <f t="shared" si="15"/>
        <v>0</v>
      </c>
      <c r="V84" s="121">
        <f t="shared" si="16"/>
        <v>6</v>
      </c>
      <c r="AA84" s="47">
        <v>11.0</v>
      </c>
      <c r="AB84" s="63" t="s">
        <v>40</v>
      </c>
      <c r="AC84" s="22">
        <v>2.0</v>
      </c>
      <c r="AD84" s="22">
        <v>0.0</v>
      </c>
      <c r="AE84" s="23"/>
      <c r="AF84" s="23">
        <v>3.0</v>
      </c>
      <c r="AG84" s="22">
        <v>2.0</v>
      </c>
      <c r="AH84" s="23">
        <v>6.0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116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145</v>
      </c>
      <c r="F86" s="13">
        <v>2.0</v>
      </c>
      <c r="G86" s="30" t="s">
        <v>24</v>
      </c>
      <c r="H86" s="13">
        <v>0.0</v>
      </c>
      <c r="I86" s="14" t="s">
        <v>60</v>
      </c>
      <c r="J86" s="119"/>
      <c r="K86" s="120">
        <f t="shared" si="9"/>
        <v>3</v>
      </c>
      <c r="L86" s="121">
        <f t="shared" si="10"/>
        <v>0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134</v>
      </c>
      <c r="J87" s="119"/>
      <c r="K87" s="120">
        <f t="shared" si="9"/>
        <v>1</v>
      </c>
      <c r="L87" s="121">
        <f t="shared" si="10"/>
        <v>2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159</v>
      </c>
      <c r="F88" s="13">
        <v>2.0</v>
      </c>
      <c r="G88" s="30" t="s">
        <v>24</v>
      </c>
      <c r="H88" s="13">
        <v>0.0</v>
      </c>
      <c r="I88" s="14" t="s">
        <v>108</v>
      </c>
      <c r="J88" s="119"/>
      <c r="K88" s="120">
        <f t="shared" si="9"/>
        <v>3</v>
      </c>
      <c r="L88" s="121">
        <f t="shared" si="10"/>
        <v>0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0"/>
      <c r="K89" s="120">
        <f t="shared" si="9"/>
        <v>0</v>
      </c>
      <c r="L89" s="121">
        <f t="shared" si="10"/>
        <v>3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</row>
    <row r="91" ht="15.75" customHeight="1">
      <c r="A91" s="28"/>
      <c r="B91" s="133"/>
      <c r="C91" s="132"/>
      <c r="D91" s="132"/>
      <c r="E91" s="14">
        <v>0.0</v>
      </c>
      <c r="F91" s="30"/>
      <c r="G91" s="30" t="s">
        <v>24</v>
      </c>
      <c r="H91" s="30"/>
      <c r="I91" s="14" t="s">
        <v>116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</row>
    <row r="92" ht="15.75" customHeight="1">
      <c r="A92" s="115">
        <v>4.0</v>
      </c>
      <c r="B92" s="133"/>
      <c r="C92" s="132"/>
      <c r="D92" s="132"/>
      <c r="E92" s="14" t="s">
        <v>60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</row>
    <row r="93" ht="15.75" customHeight="1">
      <c r="A93" s="24"/>
      <c r="B93" s="133"/>
      <c r="C93" s="132"/>
      <c r="D93" s="132"/>
      <c r="E93" s="14" t="s">
        <v>134</v>
      </c>
      <c r="F93" s="30"/>
      <c r="G93" s="30" t="s">
        <v>24</v>
      </c>
      <c r="H93" s="30"/>
      <c r="I93" s="14" t="s">
        <v>145</v>
      </c>
      <c r="J93" s="119"/>
      <c r="K93" s="120" t="str">
        <f t="shared" si="9"/>
        <v/>
      </c>
      <c r="L93" s="121" t="str">
        <f t="shared" si="10"/>
        <v/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</row>
    <row r="94" ht="15.75" customHeight="1">
      <c r="A94" s="24"/>
      <c r="B94" s="133"/>
      <c r="C94" s="132"/>
      <c r="D94" s="132"/>
      <c r="E94" s="14" t="s">
        <v>108</v>
      </c>
      <c r="F94" s="30"/>
      <c r="G94" s="30" t="s">
        <v>24</v>
      </c>
      <c r="H94" s="30"/>
      <c r="I94" s="14" t="s">
        <v>40</v>
      </c>
      <c r="J94" s="119"/>
      <c r="K94" s="120" t="str">
        <f t="shared" si="9"/>
        <v/>
      </c>
      <c r="L94" s="121" t="str">
        <f t="shared" si="10"/>
        <v/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</row>
    <row r="95" ht="15.75" customHeight="1">
      <c r="A95" s="24"/>
      <c r="B95" s="133"/>
      <c r="C95" s="132"/>
      <c r="D95" s="132"/>
      <c r="E95" s="14" t="s">
        <v>64</v>
      </c>
      <c r="F95" s="30"/>
      <c r="G95" s="30" t="s">
        <v>24</v>
      </c>
      <c r="H95" s="30"/>
      <c r="I95" s="14" t="s">
        <v>159</v>
      </c>
      <c r="J95" s="119"/>
      <c r="K95" s="120" t="str">
        <f t="shared" si="9"/>
        <v/>
      </c>
      <c r="L95" s="121" t="str">
        <f t="shared" si="10"/>
        <v/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33"/>
      <c r="C96" s="132"/>
      <c r="D96" s="132"/>
      <c r="E96" s="14" t="s">
        <v>41</v>
      </c>
      <c r="F96" s="30"/>
      <c r="G96" s="30" t="s">
        <v>24</v>
      </c>
      <c r="H96" s="30"/>
      <c r="I96" s="14" t="s">
        <v>201</v>
      </c>
      <c r="J96" s="119"/>
      <c r="K96" s="120" t="str">
        <f t="shared" si="9"/>
        <v/>
      </c>
      <c r="L96" s="121" t="str">
        <f t="shared" si="10"/>
        <v/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33"/>
      <c r="C97" s="132"/>
      <c r="D97" s="132"/>
      <c r="E97" s="14" t="s">
        <v>116</v>
      </c>
      <c r="F97" s="30"/>
      <c r="G97" s="30" t="s">
        <v>24</v>
      </c>
      <c r="H97" s="30"/>
      <c r="I97" s="14" t="s">
        <v>65</v>
      </c>
      <c r="J97" s="119"/>
      <c r="K97" s="120" t="str">
        <f t="shared" si="9"/>
        <v/>
      </c>
      <c r="L97" s="121" t="str">
        <f t="shared" si="10"/>
        <v/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33"/>
      <c r="C98" s="132"/>
      <c r="D98" s="132"/>
      <c r="E98" s="14" t="s">
        <v>60</v>
      </c>
      <c r="F98" s="30"/>
      <c r="G98" s="30" t="s">
        <v>24</v>
      </c>
      <c r="H98" s="30"/>
      <c r="I98" s="14" t="s">
        <v>134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33"/>
      <c r="C99" s="132"/>
      <c r="D99" s="132"/>
      <c r="E99" s="14" t="s">
        <v>145</v>
      </c>
      <c r="F99" s="132"/>
      <c r="G99" s="30" t="s">
        <v>24</v>
      </c>
      <c r="H99" s="30"/>
      <c r="I99" s="14" t="s">
        <v>108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33"/>
      <c r="C100" s="132"/>
      <c r="D100" s="132"/>
      <c r="E100" s="14" t="s">
        <v>40</v>
      </c>
      <c r="F100" s="132"/>
      <c r="G100" s="30" t="s">
        <v>24</v>
      </c>
      <c r="H100" s="30"/>
      <c r="I100" s="14" t="s">
        <v>64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33"/>
      <c r="C101" s="132"/>
      <c r="D101" s="132"/>
      <c r="E101" s="14" t="s">
        <v>159</v>
      </c>
      <c r="F101" s="132"/>
      <c r="G101" s="30" t="s">
        <v>24</v>
      </c>
      <c r="H101" s="30"/>
      <c r="I101" s="14" t="s">
        <v>41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33"/>
      <c r="C102" s="132"/>
      <c r="D102" s="132"/>
      <c r="E102" s="14" t="s">
        <v>201</v>
      </c>
      <c r="F102" s="132"/>
      <c r="G102" s="30" t="s">
        <v>24</v>
      </c>
      <c r="H102" s="30"/>
      <c r="I102" s="14" t="s">
        <v>116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3"/>
      <c r="C103" s="132"/>
      <c r="D103" s="132"/>
      <c r="E103" s="14">
        <v>0.0</v>
      </c>
      <c r="F103" s="132"/>
      <c r="G103" s="30" t="s">
        <v>24</v>
      </c>
      <c r="H103" s="30"/>
      <c r="I103" s="14" t="s">
        <v>65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3"/>
      <c r="C104" s="134"/>
      <c r="D104" s="132"/>
      <c r="E104" s="14" t="s">
        <v>134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3"/>
      <c r="C105" s="132"/>
      <c r="D105" s="132"/>
      <c r="E105" s="14" t="s">
        <v>108</v>
      </c>
      <c r="F105" s="30"/>
      <c r="G105" s="30" t="s">
        <v>24</v>
      </c>
      <c r="H105" s="30"/>
      <c r="I105" s="14" t="s">
        <v>60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3"/>
      <c r="C106" s="132"/>
      <c r="D106" s="132"/>
      <c r="E106" s="14" t="s">
        <v>64</v>
      </c>
      <c r="F106" s="30"/>
      <c r="G106" s="30" t="s">
        <v>24</v>
      </c>
      <c r="H106" s="30"/>
      <c r="I106" s="14" t="s">
        <v>145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3"/>
      <c r="C107" s="134"/>
      <c r="D107" s="132"/>
      <c r="E107" s="14" t="s">
        <v>41</v>
      </c>
      <c r="F107" s="30"/>
      <c r="G107" s="30" t="s">
        <v>24</v>
      </c>
      <c r="H107" s="30"/>
      <c r="I107" s="14" t="s">
        <v>40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3"/>
      <c r="C108" s="132"/>
      <c r="D108" s="132"/>
      <c r="E108" s="14" t="s">
        <v>116</v>
      </c>
      <c r="F108" s="30"/>
      <c r="G108" s="30" t="s">
        <v>24</v>
      </c>
      <c r="H108" s="30"/>
      <c r="I108" s="14" t="s">
        <v>159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3"/>
      <c r="C109" s="132"/>
      <c r="D109" s="132"/>
      <c r="E109" s="14" t="s">
        <v>65</v>
      </c>
      <c r="F109" s="30"/>
      <c r="G109" s="30" t="s">
        <v>24</v>
      </c>
      <c r="H109" s="30"/>
      <c r="I109" s="14" t="s">
        <v>201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3"/>
      <c r="C110" s="134"/>
      <c r="D110" s="132"/>
      <c r="E110" s="14" t="s">
        <v>134</v>
      </c>
      <c r="F110" s="30"/>
      <c r="G110" s="30" t="s">
        <v>24</v>
      </c>
      <c r="H110" s="30"/>
      <c r="I110" s="14" t="s">
        <v>108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3"/>
      <c r="C111" s="134"/>
      <c r="D111" s="132"/>
      <c r="E111" s="14" t="s">
        <v>60</v>
      </c>
      <c r="F111" s="30"/>
      <c r="G111" s="30" t="s">
        <v>24</v>
      </c>
      <c r="H111" s="30"/>
      <c r="I111" s="14" t="s">
        <v>64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3"/>
      <c r="C112" s="134"/>
      <c r="D112" s="132"/>
      <c r="E112" s="14" t="s">
        <v>145</v>
      </c>
      <c r="F112" s="30"/>
      <c r="G112" s="30" t="s">
        <v>24</v>
      </c>
      <c r="H112" s="30"/>
      <c r="I112" s="14" t="s">
        <v>41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3"/>
      <c r="C113" s="134"/>
      <c r="D113" s="132"/>
      <c r="E113" s="14" t="s">
        <v>40</v>
      </c>
      <c r="F113" s="30"/>
      <c r="G113" s="30" t="s">
        <v>24</v>
      </c>
      <c r="H113" s="30"/>
      <c r="I113" s="14" t="s">
        <v>116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3"/>
      <c r="C114" s="132"/>
      <c r="D114" s="132"/>
      <c r="E114" s="14" t="s">
        <v>159</v>
      </c>
      <c r="F114" s="30"/>
      <c r="G114" s="30" t="s">
        <v>24</v>
      </c>
      <c r="H114" s="30"/>
      <c r="I114" s="14" t="s">
        <v>65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3"/>
      <c r="C115" s="132"/>
      <c r="D115" s="132"/>
      <c r="E115" s="14">
        <v>0.0</v>
      </c>
      <c r="F115" s="30"/>
      <c r="G115" s="30" t="s">
        <v>24</v>
      </c>
      <c r="H115" s="30"/>
      <c r="I115" s="14" t="s">
        <v>201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3"/>
      <c r="C116" s="134"/>
      <c r="D116" s="132"/>
      <c r="E116" s="14" t="s">
        <v>108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3"/>
      <c r="C117" s="134"/>
      <c r="D117" s="132"/>
      <c r="E117" s="14" t="s">
        <v>64</v>
      </c>
      <c r="F117" s="30"/>
      <c r="G117" s="30" t="s">
        <v>24</v>
      </c>
      <c r="H117" s="30"/>
      <c r="I117" s="14" t="s">
        <v>134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3"/>
      <c r="C118" s="134"/>
      <c r="D118" s="132"/>
      <c r="E118" s="14" t="s">
        <v>41</v>
      </c>
      <c r="F118" s="30"/>
      <c r="G118" s="30" t="s">
        <v>24</v>
      </c>
      <c r="H118" s="30"/>
      <c r="I118" s="14" t="s">
        <v>60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3"/>
      <c r="C119" s="134"/>
      <c r="D119" s="132"/>
      <c r="E119" s="14" t="s">
        <v>116</v>
      </c>
      <c r="F119" s="30"/>
      <c r="G119" s="30" t="s">
        <v>24</v>
      </c>
      <c r="H119" s="30"/>
      <c r="I119" s="14" t="s">
        <v>145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3"/>
      <c r="C120" s="132"/>
      <c r="D120" s="132"/>
      <c r="E120" s="14" t="s">
        <v>65</v>
      </c>
      <c r="F120" s="30"/>
      <c r="G120" s="30" t="s">
        <v>24</v>
      </c>
      <c r="H120" s="30"/>
      <c r="I120" s="14" t="s">
        <v>40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3"/>
      <c r="C121" s="132"/>
      <c r="D121" s="132"/>
      <c r="E121" s="14" t="s">
        <v>201</v>
      </c>
      <c r="F121" s="30"/>
      <c r="G121" s="30" t="s">
        <v>24</v>
      </c>
      <c r="H121" s="30"/>
      <c r="I121" s="14" t="s">
        <v>159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3"/>
      <c r="C122" s="134"/>
      <c r="D122" s="132"/>
      <c r="E122" s="14" t="s">
        <v>108</v>
      </c>
      <c r="F122" s="30"/>
      <c r="G122" s="30" t="s">
        <v>24</v>
      </c>
      <c r="H122" s="30"/>
      <c r="I122" s="14" t="s">
        <v>64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3"/>
      <c r="C123" s="134"/>
      <c r="D123" s="132"/>
      <c r="E123" s="14" t="s">
        <v>134</v>
      </c>
      <c r="F123" s="30"/>
      <c r="G123" s="30" t="s">
        <v>24</v>
      </c>
      <c r="H123" s="30"/>
      <c r="I123" s="14" t="s">
        <v>41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3"/>
      <c r="C124" s="134"/>
      <c r="D124" s="132"/>
      <c r="E124" s="14" t="s">
        <v>60</v>
      </c>
      <c r="F124" s="30"/>
      <c r="G124" s="30" t="s">
        <v>24</v>
      </c>
      <c r="H124" s="30"/>
      <c r="I124" s="14" t="s">
        <v>116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3"/>
      <c r="C125" s="134"/>
      <c r="D125" s="132"/>
      <c r="E125" s="14" t="s">
        <v>145</v>
      </c>
      <c r="F125" s="30"/>
      <c r="G125" s="30" t="s">
        <v>24</v>
      </c>
      <c r="H125" s="30"/>
      <c r="I125" s="14" t="s">
        <v>65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3"/>
      <c r="C126" s="132"/>
      <c r="D126" s="132"/>
      <c r="E126" s="14" t="s">
        <v>40</v>
      </c>
      <c r="F126" s="30"/>
      <c r="G126" s="30" t="s">
        <v>24</v>
      </c>
      <c r="H126" s="30"/>
      <c r="I126" s="14" t="s">
        <v>201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3"/>
      <c r="C127" s="132"/>
      <c r="D127" s="132"/>
      <c r="E127" s="14">
        <v>0.0</v>
      </c>
      <c r="F127" s="30"/>
      <c r="G127" s="30" t="s">
        <v>24</v>
      </c>
      <c r="H127" s="30"/>
      <c r="I127" s="14" t="s">
        <v>159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3"/>
      <c r="C128" s="134"/>
      <c r="D128" s="132"/>
      <c r="E128" s="14">
        <v>0.0</v>
      </c>
      <c r="F128" s="30"/>
      <c r="G128" s="30" t="s">
        <v>24</v>
      </c>
      <c r="H128" s="30"/>
      <c r="I128" s="14" t="s">
        <v>64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3"/>
      <c r="C129" s="134"/>
      <c r="D129" s="132"/>
      <c r="E129" s="14" t="s">
        <v>41</v>
      </c>
      <c r="F129" s="30"/>
      <c r="G129" s="30" t="s">
        <v>24</v>
      </c>
      <c r="H129" s="30"/>
      <c r="I129" s="14" t="s">
        <v>108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3"/>
      <c r="C130" s="134"/>
      <c r="D130" s="132"/>
      <c r="E130" s="14" t="s">
        <v>116</v>
      </c>
      <c r="F130" s="30"/>
      <c r="G130" s="30" t="s">
        <v>24</v>
      </c>
      <c r="H130" s="30"/>
      <c r="I130" s="14" t="s">
        <v>134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3"/>
      <c r="C131" s="134"/>
      <c r="D131" s="132"/>
      <c r="E131" s="14" t="s">
        <v>65</v>
      </c>
      <c r="F131" s="30"/>
      <c r="G131" s="30" t="s">
        <v>24</v>
      </c>
      <c r="H131" s="30"/>
      <c r="I131" s="14" t="s">
        <v>60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3"/>
      <c r="C132" s="132"/>
      <c r="D132" s="132"/>
      <c r="E132" s="14" t="s">
        <v>201</v>
      </c>
      <c r="F132" s="30"/>
      <c r="G132" s="30" t="s">
        <v>24</v>
      </c>
      <c r="H132" s="30"/>
      <c r="I132" s="14" t="s">
        <v>145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3"/>
      <c r="C133" s="132"/>
      <c r="D133" s="132"/>
      <c r="E133" s="14" t="s">
        <v>159</v>
      </c>
      <c r="F133" s="30"/>
      <c r="G133" s="30" t="s">
        <v>24</v>
      </c>
      <c r="H133" s="30"/>
      <c r="I133" s="14" t="s">
        <v>40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3"/>
      <c r="C134" s="134"/>
      <c r="D134" s="132"/>
      <c r="E134" s="14" t="s">
        <v>64</v>
      </c>
      <c r="F134" s="13"/>
      <c r="G134" s="30" t="s">
        <v>24</v>
      </c>
      <c r="H134" s="13"/>
      <c r="I134" s="14" t="s">
        <v>41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3"/>
      <c r="C135" s="134"/>
      <c r="D135" s="132"/>
      <c r="E135" s="14" t="s">
        <v>108</v>
      </c>
      <c r="F135" s="30"/>
      <c r="G135" s="30" t="s">
        <v>24</v>
      </c>
      <c r="H135" s="30"/>
      <c r="I135" s="14" t="s">
        <v>116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3"/>
      <c r="C136" s="134"/>
      <c r="D136" s="132"/>
      <c r="E136" s="14" t="s">
        <v>134</v>
      </c>
      <c r="F136" s="13"/>
      <c r="G136" s="30" t="s">
        <v>24</v>
      </c>
      <c r="H136" s="13"/>
      <c r="I136" s="14" t="s">
        <v>65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3"/>
      <c r="C137" s="134"/>
      <c r="D137" s="132"/>
      <c r="E137" s="14" t="s">
        <v>60</v>
      </c>
      <c r="F137" s="30"/>
      <c r="G137" s="30" t="s">
        <v>24</v>
      </c>
      <c r="H137" s="30"/>
      <c r="I137" s="14" t="s">
        <v>201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3"/>
      <c r="C138" s="132"/>
      <c r="D138" s="132"/>
      <c r="E138" s="14" t="s">
        <v>145</v>
      </c>
      <c r="F138" s="13"/>
      <c r="G138" s="30" t="s">
        <v>24</v>
      </c>
      <c r="H138" s="13"/>
      <c r="I138" s="14" t="s">
        <v>159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3"/>
      <c r="C139" s="132"/>
      <c r="D139" s="132"/>
      <c r="E139" s="14" t="s">
        <v>40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</row>
    <row r="140" ht="15.75" customHeight="1">
      <c r="A140" s="139"/>
      <c r="B140" s="140"/>
      <c r="C140" s="141"/>
      <c r="D140" s="141"/>
      <c r="E140" s="142"/>
      <c r="F140" s="38"/>
      <c r="G140" s="38"/>
      <c r="H140" s="38"/>
      <c r="I140" s="142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</row>
    <row r="144" ht="15.75" customHeight="1">
      <c r="A144" s="143" t="s">
        <v>203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122</v>
      </c>
      <c r="P146" s="121">
        <f t="shared" ref="P146:P156" si="19">SUMIF(E$146:E$211,O146,K$146:K$211)+SUMIF(I$146:I$211,O146,L$146:L$211)</f>
        <v>7</v>
      </c>
      <c r="Q146" s="123">
        <f t="shared" ref="Q146:Q156" si="20">COUNTIFS(E$146:E$211,O146,K$146:K$211,2)+COUNTIFS(I$146:I$211,O146,L$146:L$211,2)+COUNTIFS(E$146:E$211,O146,K$146:K$211,3)+COUNTIFS(I$146:I$211,O146,L$146:L$211,3)</f>
        <v>3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0</v>
      </c>
      <c r="T146" s="121">
        <f t="shared" ref="T146:T156" si="22">SUMIF(E$146:E$211,O146,F$146:F$211)+SUMIF(I$146:I$211,O146,H$146:H$211)</f>
        <v>6</v>
      </c>
      <c r="U146" s="124">
        <f t="shared" ref="U146:U156" si="23">SUMIF(E$146:E$211,O146,H$146:H$211)+SUMIF(I$146:I$211,O146,F$146:F$211)</f>
        <v>2</v>
      </c>
      <c r="V146" s="121">
        <f t="shared" ref="V146:V156" si="24">T146-U146</f>
        <v>4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9.0</v>
      </c>
      <c r="AD146" s="22">
        <v>3.0</v>
      </c>
      <c r="AE146" s="23"/>
      <c r="AF146" s="23">
        <v>0.0</v>
      </c>
      <c r="AG146" s="22">
        <v>6.0</v>
      </c>
      <c r="AH146" s="23">
        <v>0.0</v>
      </c>
      <c r="AI146" s="22">
        <v>6.0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144</v>
      </c>
      <c r="P147" s="121">
        <f t="shared" si="19"/>
        <v>4</v>
      </c>
      <c r="Q147" s="123">
        <f t="shared" si="20"/>
        <v>1</v>
      </c>
      <c r="R147" s="124"/>
      <c r="S147" s="124">
        <f t="shared" si="21"/>
        <v>1</v>
      </c>
      <c r="T147" s="121">
        <f t="shared" si="22"/>
        <v>3</v>
      </c>
      <c r="U147" s="124">
        <f t="shared" si="23"/>
        <v>2</v>
      </c>
      <c r="V147" s="121">
        <f t="shared" si="24"/>
        <v>1</v>
      </c>
      <c r="X147" s="108" t="s">
        <v>33</v>
      </c>
      <c r="Y147" s="108">
        <v>3.0</v>
      </c>
      <c r="AA147" s="95" t="s">
        <v>112</v>
      </c>
      <c r="AB147" s="63" t="s">
        <v>122</v>
      </c>
      <c r="AC147" s="22">
        <v>7.0</v>
      </c>
      <c r="AD147" s="22">
        <v>3.0</v>
      </c>
      <c r="AE147" s="23"/>
      <c r="AF147" s="23">
        <v>0.0</v>
      </c>
      <c r="AG147" s="22">
        <v>6.0</v>
      </c>
      <c r="AH147" s="23">
        <v>2.0</v>
      </c>
      <c r="AI147" s="22">
        <v>4.0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204</v>
      </c>
      <c r="F148" s="13">
        <v>2.0</v>
      </c>
      <c r="G148" s="30" t="s">
        <v>24</v>
      </c>
      <c r="H148" s="13">
        <v>0.0</v>
      </c>
      <c r="I148" s="14" t="s">
        <v>62</v>
      </c>
      <c r="J148" s="119"/>
      <c r="K148" s="120">
        <f t="shared" si="17"/>
        <v>3</v>
      </c>
      <c r="L148" s="121">
        <f t="shared" si="18"/>
        <v>0</v>
      </c>
      <c r="M148" s="119"/>
      <c r="N148" s="121">
        <v>3.0</v>
      </c>
      <c r="O148" s="122" t="s">
        <v>56</v>
      </c>
      <c r="P148" s="121">
        <f t="shared" si="19"/>
        <v>4</v>
      </c>
      <c r="Q148" s="123">
        <f t="shared" si="20"/>
        <v>1</v>
      </c>
      <c r="R148" s="124"/>
      <c r="S148" s="124">
        <f t="shared" si="21"/>
        <v>1</v>
      </c>
      <c r="T148" s="121">
        <f t="shared" si="22"/>
        <v>3</v>
      </c>
      <c r="U148" s="124">
        <f t="shared" si="23"/>
        <v>2</v>
      </c>
      <c r="V148" s="121">
        <f t="shared" si="24"/>
        <v>1</v>
      </c>
      <c r="X148" s="108" t="s">
        <v>41</v>
      </c>
      <c r="Y148" s="108">
        <v>0.0</v>
      </c>
      <c r="AA148" s="21">
        <v>3.0</v>
      </c>
      <c r="AB148" s="63" t="s">
        <v>33</v>
      </c>
      <c r="AC148" s="22">
        <v>6.0</v>
      </c>
      <c r="AD148" s="22">
        <v>2.0</v>
      </c>
      <c r="AE148" s="23"/>
      <c r="AF148" s="23">
        <v>1.0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9"/>
      <c r="K149" s="120">
        <f t="shared" si="17"/>
        <v>1</v>
      </c>
      <c r="L149" s="121">
        <f t="shared" si="18"/>
        <v>2</v>
      </c>
      <c r="M149" s="119"/>
      <c r="N149" s="121">
        <v>4.0</v>
      </c>
      <c r="O149" s="122" t="s">
        <v>59</v>
      </c>
      <c r="P149" s="121">
        <f t="shared" si="19"/>
        <v>2</v>
      </c>
      <c r="Q149" s="123">
        <f t="shared" si="20"/>
        <v>1</v>
      </c>
      <c r="R149" s="124"/>
      <c r="S149" s="124">
        <f t="shared" si="21"/>
        <v>1</v>
      </c>
      <c r="T149" s="121">
        <f t="shared" si="22"/>
        <v>2</v>
      </c>
      <c r="U149" s="124">
        <f t="shared" si="23"/>
        <v>3</v>
      </c>
      <c r="V149" s="121">
        <f t="shared" si="24"/>
        <v>-1</v>
      </c>
      <c r="AA149" s="21">
        <v>4.0</v>
      </c>
      <c r="AB149" s="63" t="s">
        <v>144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9"/>
      <c r="K150" s="120">
        <f t="shared" si="17"/>
        <v>0</v>
      </c>
      <c r="L150" s="121">
        <f t="shared" si="18"/>
        <v>3</v>
      </c>
      <c r="M150" s="119"/>
      <c r="N150" s="121">
        <v>5.0</v>
      </c>
      <c r="O150" s="122" t="s">
        <v>35</v>
      </c>
      <c r="P150" s="121">
        <f t="shared" si="19"/>
        <v>1</v>
      </c>
      <c r="Q150" s="123">
        <f t="shared" si="20"/>
        <v>0</v>
      </c>
      <c r="R150" s="124"/>
      <c r="S150" s="124">
        <f t="shared" si="21"/>
        <v>3</v>
      </c>
      <c r="T150" s="121">
        <f t="shared" si="22"/>
        <v>1</v>
      </c>
      <c r="U150" s="124">
        <f t="shared" si="23"/>
        <v>6</v>
      </c>
      <c r="V150" s="121">
        <f t="shared" si="24"/>
        <v>-5</v>
      </c>
      <c r="AA150" s="21">
        <v>5.0</v>
      </c>
      <c r="AB150" s="63" t="s">
        <v>56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33"/>
      <c r="C151" s="134"/>
      <c r="D151" s="132"/>
      <c r="E151" s="14">
        <v>0.0</v>
      </c>
      <c r="F151" s="30"/>
      <c r="G151" s="30" t="s">
        <v>24</v>
      </c>
      <c r="H151" s="30"/>
      <c r="I151" s="14" t="s">
        <v>144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55</v>
      </c>
      <c r="P151" s="121">
        <f t="shared" si="19"/>
        <v>4</v>
      </c>
      <c r="Q151" s="123">
        <f t="shared" si="20"/>
        <v>1</v>
      </c>
      <c r="R151" s="124"/>
      <c r="S151" s="124">
        <f t="shared" si="21"/>
        <v>2</v>
      </c>
      <c r="T151" s="121">
        <f t="shared" si="22"/>
        <v>3</v>
      </c>
      <c r="U151" s="124">
        <f t="shared" si="23"/>
        <v>4</v>
      </c>
      <c r="V151" s="121">
        <f t="shared" si="24"/>
        <v>-1</v>
      </c>
      <c r="AA151" s="21">
        <v>6.0</v>
      </c>
      <c r="AB151" s="63" t="s">
        <v>110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</row>
    <row r="152" ht="15.75" customHeight="1">
      <c r="A152" s="58">
        <v>2.0</v>
      </c>
      <c r="B152" s="133"/>
      <c r="C152" s="134"/>
      <c r="D152" s="132"/>
      <c r="E152" s="14" t="s">
        <v>56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62</v>
      </c>
      <c r="P152" s="121">
        <f t="shared" si="19"/>
        <v>0</v>
      </c>
      <c r="Q152" s="123">
        <f t="shared" si="20"/>
        <v>0</v>
      </c>
      <c r="R152" s="124"/>
      <c r="S152" s="124">
        <f t="shared" si="21"/>
        <v>3</v>
      </c>
      <c r="T152" s="121">
        <f t="shared" si="22"/>
        <v>0</v>
      </c>
      <c r="U152" s="124">
        <f t="shared" si="23"/>
        <v>6</v>
      </c>
      <c r="V152" s="121">
        <f t="shared" si="24"/>
        <v>-6</v>
      </c>
      <c r="AA152" s="21">
        <v>7.0</v>
      </c>
      <c r="AB152" s="63" t="s">
        <v>55</v>
      </c>
      <c r="AC152" s="22">
        <v>4.0</v>
      </c>
      <c r="AD152" s="22">
        <v>1.0</v>
      </c>
      <c r="AE152" s="23"/>
      <c r="AF152" s="23">
        <v>2.0</v>
      </c>
      <c r="AG152" s="22">
        <v>3.0</v>
      </c>
      <c r="AH152" s="23">
        <v>4.0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204</v>
      </c>
      <c r="P153" s="121">
        <f t="shared" si="19"/>
        <v>4</v>
      </c>
      <c r="Q153" s="123">
        <f t="shared" si="20"/>
        <v>1</v>
      </c>
      <c r="R153" s="124"/>
      <c r="S153" s="124">
        <f t="shared" si="21"/>
        <v>2</v>
      </c>
      <c r="T153" s="121">
        <f t="shared" si="22"/>
        <v>3</v>
      </c>
      <c r="U153" s="124">
        <f t="shared" si="23"/>
        <v>4</v>
      </c>
      <c r="V153" s="121">
        <f t="shared" si="24"/>
        <v>-1</v>
      </c>
      <c r="AA153" s="21">
        <v>8.0</v>
      </c>
      <c r="AB153" s="63" t="s">
        <v>204</v>
      </c>
      <c r="AC153" s="22">
        <v>4.0</v>
      </c>
      <c r="AD153" s="22">
        <v>1.0</v>
      </c>
      <c r="AE153" s="23"/>
      <c r="AF153" s="23">
        <v>2.0</v>
      </c>
      <c r="AG153" s="22">
        <v>3.0</v>
      </c>
      <c r="AH153" s="23">
        <v>4.0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9"/>
      <c r="K154" s="120">
        <f t="shared" si="17"/>
        <v>0</v>
      </c>
      <c r="L154" s="121">
        <f t="shared" si="18"/>
        <v>3</v>
      </c>
      <c r="M154" s="119"/>
      <c r="N154" s="121">
        <v>9.0</v>
      </c>
      <c r="O154" s="122" t="s">
        <v>110</v>
      </c>
      <c r="P154" s="121">
        <f t="shared" si="19"/>
        <v>4</v>
      </c>
      <c r="Q154" s="123">
        <f t="shared" si="20"/>
        <v>2</v>
      </c>
      <c r="R154" s="124"/>
      <c r="S154" s="124">
        <f t="shared" si="21"/>
        <v>1</v>
      </c>
      <c r="T154" s="121">
        <f t="shared" si="22"/>
        <v>4</v>
      </c>
      <c r="U154" s="124">
        <f t="shared" si="23"/>
        <v>4</v>
      </c>
      <c r="V154" s="121">
        <f t="shared" si="24"/>
        <v>0</v>
      </c>
      <c r="AA154" s="21">
        <v>9.0</v>
      </c>
      <c r="AB154" s="63" t="s">
        <v>59</v>
      </c>
      <c r="AC154" s="22">
        <v>2.0</v>
      </c>
      <c r="AD154" s="22">
        <v>1.0</v>
      </c>
      <c r="AE154" s="23"/>
      <c r="AF154" s="23">
        <v>1.0</v>
      </c>
      <c r="AG154" s="22">
        <v>2.0</v>
      </c>
      <c r="AH154" s="23">
        <v>3.0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204</v>
      </c>
      <c r="J155" s="119"/>
      <c r="K155" s="120">
        <f t="shared" si="17"/>
        <v>2</v>
      </c>
      <c r="L155" s="121">
        <f t="shared" si="18"/>
        <v>1</v>
      </c>
      <c r="M155" s="119"/>
      <c r="N155" s="121">
        <v>10.0</v>
      </c>
      <c r="O155" s="122" t="s">
        <v>45</v>
      </c>
      <c r="P155" s="121">
        <f t="shared" si="19"/>
        <v>9</v>
      </c>
      <c r="Q155" s="123">
        <f t="shared" si="20"/>
        <v>3</v>
      </c>
      <c r="R155" s="124"/>
      <c r="S155" s="124">
        <f t="shared" si="21"/>
        <v>0</v>
      </c>
      <c r="T155" s="121">
        <f t="shared" si="22"/>
        <v>6</v>
      </c>
      <c r="U155" s="124">
        <f t="shared" si="23"/>
        <v>0</v>
      </c>
      <c r="V155" s="121">
        <f t="shared" si="24"/>
        <v>6</v>
      </c>
      <c r="AA155" s="21">
        <v>10.0</v>
      </c>
      <c r="AB155" s="63" t="s">
        <v>35</v>
      </c>
      <c r="AC155" s="22">
        <v>1.0</v>
      </c>
      <c r="AD155" s="22">
        <v>0.0</v>
      </c>
      <c r="AE155" s="23"/>
      <c r="AF155" s="23">
        <v>3.0</v>
      </c>
      <c r="AG155" s="22">
        <v>1.0</v>
      </c>
      <c r="AH155" s="23">
        <v>6.0</v>
      </c>
      <c r="AI155" s="22">
        <v>-5.0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9"/>
      <c r="K156" s="120">
        <f t="shared" si="17"/>
        <v>0</v>
      </c>
      <c r="L156" s="121">
        <f t="shared" si="18"/>
        <v>3</v>
      </c>
      <c r="M156" s="119"/>
      <c r="N156" s="138">
        <v>11.0</v>
      </c>
      <c r="O156" s="138" t="s">
        <v>33</v>
      </c>
      <c r="P156" s="121">
        <f t="shared" si="19"/>
        <v>6</v>
      </c>
      <c r="Q156" s="123">
        <f t="shared" si="20"/>
        <v>2</v>
      </c>
      <c r="S156" s="124">
        <f t="shared" si="21"/>
        <v>1</v>
      </c>
      <c r="T156" s="121">
        <f t="shared" si="22"/>
        <v>4</v>
      </c>
      <c r="U156" s="124">
        <f t="shared" si="23"/>
        <v>2</v>
      </c>
      <c r="V156" s="121">
        <f t="shared" si="24"/>
        <v>2</v>
      </c>
      <c r="AA156" s="47">
        <v>11.0</v>
      </c>
      <c r="AB156" s="63" t="s">
        <v>62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144</v>
      </c>
      <c r="F157" s="13">
        <v>1.0</v>
      </c>
      <c r="G157" s="30" t="s">
        <v>24</v>
      </c>
      <c r="H157" s="13">
        <v>2.0</v>
      </c>
      <c r="I157" s="14" t="s">
        <v>59</v>
      </c>
      <c r="J157" s="119"/>
      <c r="K157" s="120">
        <f t="shared" si="17"/>
        <v>1</v>
      </c>
      <c r="L157" s="121">
        <f t="shared" si="18"/>
        <v>2</v>
      </c>
      <c r="M157" s="119"/>
      <c r="AA157" s="34" t="s">
        <v>205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19"/>
      <c r="K158" s="120">
        <f t="shared" si="17"/>
        <v>3</v>
      </c>
      <c r="L158" s="121">
        <f t="shared" si="18"/>
        <v>0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19"/>
      <c r="K159" s="120">
        <f t="shared" si="17"/>
        <v>3</v>
      </c>
      <c r="L159" s="121">
        <f t="shared" si="18"/>
        <v>0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204</v>
      </c>
      <c r="F161" s="13">
        <v>0.0</v>
      </c>
      <c r="G161" s="30" t="s">
        <v>24</v>
      </c>
      <c r="H161" s="13">
        <v>2.0</v>
      </c>
      <c r="I161" s="14" t="s">
        <v>33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144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</row>
    <row r="163" ht="15.75" customHeight="1">
      <c r="A163" s="28"/>
      <c r="B163" s="133"/>
      <c r="C163" s="132"/>
      <c r="D163" s="132"/>
      <c r="E163" s="14">
        <v>0.0</v>
      </c>
      <c r="F163" s="30"/>
      <c r="G163" s="30" t="s">
        <v>24</v>
      </c>
      <c r="H163" s="30"/>
      <c r="I163" s="14" t="s">
        <v>59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</row>
    <row r="164" ht="15.75" customHeight="1">
      <c r="A164" s="115">
        <v>4.0</v>
      </c>
      <c r="B164" s="133"/>
      <c r="C164" s="132"/>
      <c r="D164" s="132"/>
      <c r="E164" s="14" t="s">
        <v>35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</row>
    <row r="165" ht="15.75" customHeight="1">
      <c r="A165" s="24"/>
      <c r="B165" s="133"/>
      <c r="C165" s="132"/>
      <c r="D165" s="132"/>
      <c r="E165" s="14" t="s">
        <v>62</v>
      </c>
      <c r="F165" s="30"/>
      <c r="G165" s="30" t="s">
        <v>24</v>
      </c>
      <c r="H165" s="30"/>
      <c r="I165" s="14" t="s">
        <v>56</v>
      </c>
      <c r="J165" s="119"/>
      <c r="K165" s="120" t="str">
        <f t="shared" si="17"/>
        <v/>
      </c>
      <c r="L165" s="121" t="str">
        <f t="shared" si="18"/>
        <v/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</row>
    <row r="166" ht="15.75" customHeight="1">
      <c r="A166" s="24"/>
      <c r="B166" s="133"/>
      <c r="C166" s="132"/>
      <c r="D166" s="132"/>
      <c r="E166" s="14" t="s">
        <v>110</v>
      </c>
      <c r="F166" s="30"/>
      <c r="G166" s="30" t="s">
        <v>24</v>
      </c>
      <c r="H166" s="30"/>
      <c r="I166" s="14" t="s">
        <v>122</v>
      </c>
      <c r="J166" s="119"/>
      <c r="K166" s="120" t="str">
        <f t="shared" si="17"/>
        <v/>
      </c>
      <c r="L166" s="121" t="str">
        <f t="shared" si="18"/>
        <v/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</row>
    <row r="167" ht="15.75" customHeight="1">
      <c r="A167" s="24"/>
      <c r="B167" s="133"/>
      <c r="C167" s="132"/>
      <c r="D167" s="132"/>
      <c r="E167" s="14" t="s">
        <v>33</v>
      </c>
      <c r="F167" s="30"/>
      <c r="G167" s="30" t="s">
        <v>24</v>
      </c>
      <c r="H167" s="30"/>
      <c r="I167" s="14" t="s">
        <v>45</v>
      </c>
      <c r="J167" s="119"/>
      <c r="K167" s="120" t="str">
        <f t="shared" si="17"/>
        <v/>
      </c>
      <c r="L167" s="121" t="str">
        <f t="shared" si="18"/>
        <v/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33"/>
      <c r="C168" s="132"/>
      <c r="D168" s="132"/>
      <c r="E168" s="14" t="s">
        <v>144</v>
      </c>
      <c r="F168" s="30"/>
      <c r="G168" s="30" t="s">
        <v>24</v>
      </c>
      <c r="H168" s="30"/>
      <c r="I168" s="14" t="s">
        <v>204</v>
      </c>
      <c r="J168" s="119"/>
      <c r="K168" s="120" t="str">
        <f t="shared" si="17"/>
        <v/>
      </c>
      <c r="L168" s="121" t="str">
        <f t="shared" si="18"/>
        <v/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33"/>
      <c r="C169" s="132"/>
      <c r="D169" s="132"/>
      <c r="E169" s="14" t="s">
        <v>59</v>
      </c>
      <c r="F169" s="30"/>
      <c r="G169" s="30" t="s">
        <v>24</v>
      </c>
      <c r="H169" s="30"/>
      <c r="I169" s="14" t="s">
        <v>55</v>
      </c>
      <c r="J169" s="119"/>
      <c r="K169" s="120" t="str">
        <f t="shared" si="17"/>
        <v/>
      </c>
      <c r="L169" s="121" t="str">
        <f t="shared" si="18"/>
        <v/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33"/>
      <c r="C170" s="132"/>
      <c r="D170" s="132"/>
      <c r="E170" s="14" t="s">
        <v>35</v>
      </c>
      <c r="F170" s="30"/>
      <c r="G170" s="30" t="s">
        <v>24</v>
      </c>
      <c r="H170" s="30"/>
      <c r="I170" s="14" t="s">
        <v>62</v>
      </c>
      <c r="J170" s="119"/>
      <c r="K170" s="120" t="str">
        <f t="shared" si="17"/>
        <v/>
      </c>
      <c r="L170" s="121" t="str">
        <f t="shared" si="18"/>
        <v/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33"/>
      <c r="C171" s="132"/>
      <c r="D171" s="132"/>
      <c r="E171" s="14" t="s">
        <v>56</v>
      </c>
      <c r="F171" s="132"/>
      <c r="G171" s="30" t="s">
        <v>24</v>
      </c>
      <c r="H171" s="30"/>
      <c r="I171" s="14" t="s">
        <v>110</v>
      </c>
      <c r="J171" s="119"/>
      <c r="K171" s="120" t="str">
        <f t="shared" si="17"/>
        <v/>
      </c>
      <c r="L171" s="121" t="str">
        <f t="shared" si="18"/>
        <v/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33"/>
      <c r="C172" s="132"/>
      <c r="D172" s="132"/>
      <c r="E172" s="14" t="s">
        <v>122</v>
      </c>
      <c r="F172" s="132"/>
      <c r="G172" s="30" t="s">
        <v>24</v>
      </c>
      <c r="H172" s="30"/>
      <c r="I172" s="14" t="s">
        <v>33</v>
      </c>
      <c r="J172" s="119"/>
      <c r="K172" s="120" t="str">
        <f t="shared" si="17"/>
        <v/>
      </c>
      <c r="L172" s="121" t="str">
        <f t="shared" si="18"/>
        <v/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33"/>
      <c r="C173" s="132"/>
      <c r="D173" s="132"/>
      <c r="E173" s="14" t="s">
        <v>45</v>
      </c>
      <c r="F173" s="132"/>
      <c r="G173" s="30" t="s">
        <v>24</v>
      </c>
      <c r="H173" s="30"/>
      <c r="I173" s="14" t="s">
        <v>144</v>
      </c>
      <c r="J173" s="119"/>
      <c r="K173" s="120" t="str">
        <f t="shared" si="17"/>
        <v/>
      </c>
      <c r="L173" s="121" t="str">
        <f t="shared" si="18"/>
        <v/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33"/>
      <c r="C174" s="132"/>
      <c r="D174" s="132"/>
      <c r="E174" s="14" t="s">
        <v>204</v>
      </c>
      <c r="F174" s="132"/>
      <c r="G174" s="30" t="s">
        <v>24</v>
      </c>
      <c r="H174" s="30"/>
      <c r="I174" s="14" t="s">
        <v>59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3"/>
      <c r="C175" s="132"/>
      <c r="D175" s="132"/>
      <c r="E175" s="14">
        <v>0.0</v>
      </c>
      <c r="F175" s="132"/>
      <c r="G175" s="30" t="s">
        <v>24</v>
      </c>
      <c r="H175" s="30"/>
      <c r="I175" s="14" t="s">
        <v>55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3"/>
      <c r="C176" s="134"/>
      <c r="D176" s="132"/>
      <c r="E176" s="14" t="s">
        <v>62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3"/>
      <c r="C177" s="132"/>
      <c r="D177" s="132"/>
      <c r="E177" s="14" t="s">
        <v>110</v>
      </c>
      <c r="F177" s="30"/>
      <c r="G177" s="30" t="s">
        <v>24</v>
      </c>
      <c r="H177" s="30"/>
      <c r="I177" s="14" t="s">
        <v>35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3"/>
      <c r="C178" s="132"/>
      <c r="D178" s="132"/>
      <c r="E178" s="14" t="s">
        <v>33</v>
      </c>
      <c r="F178" s="30"/>
      <c r="G178" s="30" t="s">
        <v>24</v>
      </c>
      <c r="H178" s="30"/>
      <c r="I178" s="14" t="s">
        <v>56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3"/>
      <c r="C179" s="134"/>
      <c r="D179" s="132"/>
      <c r="E179" s="14" t="s">
        <v>144</v>
      </c>
      <c r="F179" s="30"/>
      <c r="G179" s="30" t="s">
        <v>24</v>
      </c>
      <c r="H179" s="30"/>
      <c r="I179" s="14" t="s">
        <v>122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3"/>
      <c r="C180" s="132"/>
      <c r="D180" s="132"/>
      <c r="E180" s="14" t="s">
        <v>59</v>
      </c>
      <c r="F180" s="30"/>
      <c r="G180" s="30" t="s">
        <v>24</v>
      </c>
      <c r="H180" s="30"/>
      <c r="I180" s="14" t="s">
        <v>45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3"/>
      <c r="C181" s="132"/>
      <c r="D181" s="132"/>
      <c r="E181" s="14" t="s">
        <v>55</v>
      </c>
      <c r="F181" s="30"/>
      <c r="G181" s="30" t="s">
        <v>24</v>
      </c>
      <c r="H181" s="30"/>
      <c r="I181" s="14" t="s">
        <v>204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3"/>
      <c r="C182" s="134"/>
      <c r="D182" s="132"/>
      <c r="E182" s="14" t="s">
        <v>62</v>
      </c>
      <c r="F182" s="30"/>
      <c r="G182" s="30" t="s">
        <v>24</v>
      </c>
      <c r="H182" s="30"/>
      <c r="I182" s="14" t="s">
        <v>110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3"/>
      <c r="C183" s="134"/>
      <c r="D183" s="132"/>
      <c r="E183" s="14" t="s">
        <v>35</v>
      </c>
      <c r="F183" s="30"/>
      <c r="G183" s="30" t="s">
        <v>24</v>
      </c>
      <c r="H183" s="30"/>
      <c r="I183" s="14" t="s">
        <v>33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3"/>
      <c r="C184" s="134"/>
      <c r="D184" s="132"/>
      <c r="E184" s="14" t="s">
        <v>56</v>
      </c>
      <c r="F184" s="30"/>
      <c r="G184" s="30" t="s">
        <v>24</v>
      </c>
      <c r="H184" s="30"/>
      <c r="I184" s="14" t="s">
        <v>144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3"/>
      <c r="C185" s="134"/>
      <c r="D185" s="132"/>
      <c r="E185" s="14" t="s">
        <v>122</v>
      </c>
      <c r="F185" s="30"/>
      <c r="G185" s="30" t="s">
        <v>24</v>
      </c>
      <c r="H185" s="30"/>
      <c r="I185" s="14" t="s">
        <v>59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3"/>
      <c r="C186" s="132"/>
      <c r="D186" s="132"/>
      <c r="E186" s="14" t="s">
        <v>45</v>
      </c>
      <c r="F186" s="30"/>
      <c r="G186" s="30" t="s">
        <v>24</v>
      </c>
      <c r="H186" s="30"/>
      <c r="I186" s="14" t="s">
        <v>55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3"/>
      <c r="C187" s="132"/>
      <c r="D187" s="132"/>
      <c r="E187" s="14">
        <v>0.0</v>
      </c>
      <c r="F187" s="30"/>
      <c r="G187" s="30" t="s">
        <v>24</v>
      </c>
      <c r="H187" s="30"/>
      <c r="I187" s="14" t="s">
        <v>204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3"/>
      <c r="C188" s="134"/>
      <c r="D188" s="132"/>
      <c r="E188" s="14" t="s">
        <v>110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3"/>
      <c r="C189" s="134"/>
      <c r="D189" s="132"/>
      <c r="E189" s="14" t="s">
        <v>33</v>
      </c>
      <c r="F189" s="30"/>
      <c r="G189" s="30" t="s">
        <v>24</v>
      </c>
      <c r="H189" s="30"/>
      <c r="I189" s="14" t="s">
        <v>62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3"/>
      <c r="C190" s="134"/>
      <c r="D190" s="132"/>
      <c r="E190" s="14" t="s">
        <v>144</v>
      </c>
      <c r="F190" s="30"/>
      <c r="G190" s="30" t="s">
        <v>24</v>
      </c>
      <c r="H190" s="30"/>
      <c r="I190" s="14" t="s">
        <v>35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3"/>
      <c r="C191" s="134"/>
      <c r="D191" s="132"/>
      <c r="E191" s="14" t="s">
        <v>59</v>
      </c>
      <c r="F191" s="30"/>
      <c r="G191" s="30" t="s">
        <v>24</v>
      </c>
      <c r="H191" s="30"/>
      <c r="I191" s="14" t="s">
        <v>56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3"/>
      <c r="C192" s="132"/>
      <c r="D192" s="132"/>
      <c r="E192" s="14" t="s">
        <v>55</v>
      </c>
      <c r="F192" s="30"/>
      <c r="G192" s="30" t="s">
        <v>24</v>
      </c>
      <c r="H192" s="30"/>
      <c r="I192" s="14" t="s">
        <v>122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3"/>
      <c r="C193" s="132"/>
      <c r="D193" s="132"/>
      <c r="E193" s="14" t="s">
        <v>204</v>
      </c>
      <c r="F193" s="30"/>
      <c r="G193" s="30" t="s">
        <v>24</v>
      </c>
      <c r="H193" s="30"/>
      <c r="I193" s="14" t="s">
        <v>45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3"/>
      <c r="C194" s="134"/>
      <c r="D194" s="132"/>
      <c r="E194" s="14" t="s">
        <v>110</v>
      </c>
      <c r="F194" s="30"/>
      <c r="G194" s="30" t="s">
        <v>24</v>
      </c>
      <c r="H194" s="30"/>
      <c r="I194" s="14" t="s">
        <v>33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3"/>
      <c r="C195" s="134"/>
      <c r="D195" s="132"/>
      <c r="E195" s="14" t="s">
        <v>62</v>
      </c>
      <c r="F195" s="30"/>
      <c r="G195" s="30" t="s">
        <v>24</v>
      </c>
      <c r="H195" s="30"/>
      <c r="I195" s="14" t="s">
        <v>144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3"/>
      <c r="C196" s="134"/>
      <c r="D196" s="132"/>
      <c r="E196" s="14" t="s">
        <v>35</v>
      </c>
      <c r="F196" s="30"/>
      <c r="G196" s="30" t="s">
        <v>24</v>
      </c>
      <c r="H196" s="30"/>
      <c r="I196" s="14" t="s">
        <v>59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3"/>
      <c r="C197" s="134"/>
      <c r="D197" s="132"/>
      <c r="E197" s="14" t="s">
        <v>56</v>
      </c>
      <c r="F197" s="30"/>
      <c r="G197" s="30" t="s">
        <v>24</v>
      </c>
      <c r="H197" s="30"/>
      <c r="I197" s="14" t="s">
        <v>55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3"/>
      <c r="C198" s="132"/>
      <c r="D198" s="132"/>
      <c r="E198" s="14" t="s">
        <v>122</v>
      </c>
      <c r="F198" s="30"/>
      <c r="G198" s="30" t="s">
        <v>24</v>
      </c>
      <c r="H198" s="30"/>
      <c r="I198" s="14" t="s">
        <v>204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3"/>
      <c r="C199" s="132"/>
      <c r="D199" s="132"/>
      <c r="E199" s="14">
        <v>0.0</v>
      </c>
      <c r="F199" s="30"/>
      <c r="G199" s="30" t="s">
        <v>24</v>
      </c>
      <c r="H199" s="30"/>
      <c r="I199" s="14" t="s">
        <v>45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3"/>
      <c r="C200" s="134"/>
      <c r="D200" s="132"/>
      <c r="E200" s="14">
        <v>0.0</v>
      </c>
      <c r="F200" s="30"/>
      <c r="G200" s="30" t="s">
        <v>24</v>
      </c>
      <c r="H200" s="30"/>
      <c r="I200" s="14" t="s">
        <v>33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3"/>
      <c r="C201" s="134"/>
      <c r="D201" s="132"/>
      <c r="E201" s="14" t="s">
        <v>144</v>
      </c>
      <c r="F201" s="30"/>
      <c r="G201" s="30" t="s">
        <v>24</v>
      </c>
      <c r="H201" s="30"/>
      <c r="I201" s="14" t="s">
        <v>110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3"/>
      <c r="C202" s="134"/>
      <c r="D202" s="132"/>
      <c r="E202" s="14" t="s">
        <v>59</v>
      </c>
      <c r="F202" s="30"/>
      <c r="G202" s="30" t="s">
        <v>24</v>
      </c>
      <c r="H202" s="30"/>
      <c r="I202" s="14" t="s">
        <v>62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3"/>
      <c r="C203" s="134"/>
      <c r="D203" s="132"/>
      <c r="E203" s="14" t="s">
        <v>55</v>
      </c>
      <c r="F203" s="30"/>
      <c r="G203" s="30" t="s">
        <v>24</v>
      </c>
      <c r="H203" s="30"/>
      <c r="I203" s="14" t="s">
        <v>35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3"/>
      <c r="C204" s="132"/>
      <c r="D204" s="132"/>
      <c r="E204" s="14" t="s">
        <v>204</v>
      </c>
      <c r="F204" s="30"/>
      <c r="G204" s="30" t="s">
        <v>24</v>
      </c>
      <c r="H204" s="30"/>
      <c r="I204" s="14" t="s">
        <v>56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3"/>
      <c r="C205" s="132"/>
      <c r="D205" s="132"/>
      <c r="E205" s="14" t="s">
        <v>45</v>
      </c>
      <c r="F205" s="30"/>
      <c r="G205" s="30" t="s">
        <v>24</v>
      </c>
      <c r="H205" s="30"/>
      <c r="I205" s="14" t="s">
        <v>122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3"/>
      <c r="C206" s="134"/>
      <c r="D206" s="132"/>
      <c r="E206" s="14" t="s">
        <v>33</v>
      </c>
      <c r="F206" s="13"/>
      <c r="G206" s="30" t="s">
        <v>24</v>
      </c>
      <c r="H206" s="13"/>
      <c r="I206" s="14" t="s">
        <v>144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3"/>
      <c r="C207" s="134"/>
      <c r="D207" s="132"/>
      <c r="E207" s="14" t="s">
        <v>110</v>
      </c>
      <c r="F207" s="30"/>
      <c r="G207" s="30" t="s">
        <v>24</v>
      </c>
      <c r="H207" s="30"/>
      <c r="I207" s="14" t="s">
        <v>59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3"/>
      <c r="C208" s="134"/>
      <c r="D208" s="132"/>
      <c r="E208" s="14" t="s">
        <v>62</v>
      </c>
      <c r="F208" s="30"/>
      <c r="G208" s="30" t="s">
        <v>24</v>
      </c>
      <c r="H208" s="30"/>
      <c r="I208" s="14" t="s">
        <v>55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3"/>
      <c r="C209" s="134"/>
      <c r="D209" s="132"/>
      <c r="E209" s="14" t="s">
        <v>35</v>
      </c>
      <c r="F209" s="30"/>
      <c r="G209" s="30" t="s">
        <v>24</v>
      </c>
      <c r="H209" s="30"/>
      <c r="I209" s="14" t="s">
        <v>204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3"/>
      <c r="C210" s="132"/>
      <c r="D210" s="132"/>
      <c r="E210" s="14" t="s">
        <v>56</v>
      </c>
      <c r="F210" s="13"/>
      <c r="G210" s="30" t="s">
        <v>24</v>
      </c>
      <c r="H210" s="13"/>
      <c r="I210" s="14" t="s">
        <v>45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3"/>
      <c r="C211" s="132"/>
      <c r="D211" s="132"/>
      <c r="E211" s="14" t="s">
        <v>122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</row>
    <row r="212" ht="15.75" customHeight="1">
      <c r="A212" s="144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</row>
    <row r="213" ht="15.75" customHeight="1">
      <c r="A213" s="144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</row>
    <row r="214" ht="15.75" customHeight="1">
      <c r="A214" s="144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</row>
    <row r="215" ht="15.75" customHeight="1">
      <c r="A215" s="144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206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5" t="s">
        <v>195</v>
      </c>
      <c r="U217" s="145" t="s">
        <v>196</v>
      </c>
      <c r="V217" s="145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6" t="s">
        <v>195</v>
      </c>
      <c r="AH217" s="146" t="s">
        <v>196</v>
      </c>
      <c r="AI217" s="146" t="s">
        <v>197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207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4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</row>
    <row r="237" ht="15.75" customHeight="1">
      <c r="A237" s="144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</row>
    <row r="238" ht="15.75" customHeight="1">
      <c r="A238" s="144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</row>
    <row r="239" ht="15.75" customHeight="1">
      <c r="A239" s="144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</row>
    <row r="240" ht="15.75" customHeight="1">
      <c r="A240" s="144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</row>
    <row r="241" ht="15.75" customHeight="1">
      <c r="A241" s="144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</row>
    <row r="242" ht="15.75" customHeight="1">
      <c r="A242" s="144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</row>
    <row r="243" ht="15.75" customHeight="1">
      <c r="A243" s="144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</row>
    <row r="244" ht="15.75" customHeight="1">
      <c r="A244" s="144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</row>
    <row r="245" ht="15.75" customHeight="1">
      <c r="A245" s="144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</row>
    <row r="246" ht="15.75" customHeight="1">
      <c r="A246" s="144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</row>
    <row r="247" ht="15.75" customHeight="1">
      <c r="A247" s="144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</row>
    <row r="248" ht="15.75" customHeight="1">
      <c r="A248" s="144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</row>
    <row r="249" ht="15.75" customHeight="1">
      <c r="A249" s="144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</row>
    <row r="250" ht="15.75" customHeight="1">
      <c r="A250" s="144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</row>
    <row r="251" ht="15.75" customHeight="1">
      <c r="A251" s="144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</row>
    <row r="252" ht="15.75" customHeight="1">
      <c r="A252" s="144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</row>
    <row r="253" ht="15.75" customHeight="1">
      <c r="A253" s="144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</row>
    <row r="254" ht="15.75" customHeight="1">
      <c r="A254" s="144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</row>
    <row r="255" ht="15.75" customHeight="1">
      <c r="A255" s="144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</row>
    <row r="256" ht="15.75" customHeight="1">
      <c r="A256" s="144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</row>
    <row r="257" ht="15.75" customHeight="1">
      <c r="A257" s="144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</row>
    <row r="258" ht="15.75" customHeight="1">
      <c r="A258" s="144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</row>
    <row r="259" ht="15.75" customHeight="1">
      <c r="A259" s="144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</row>
    <row r="260" ht="15.75" customHeight="1">
      <c r="A260" s="144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</row>
    <row r="261" ht="15.75" customHeight="1">
      <c r="A261" s="144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</row>
    <row r="262" ht="15.75" customHeight="1">
      <c r="A262" s="144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</row>
    <row r="263" ht="15.75" customHeight="1">
      <c r="A263" s="144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</row>
    <row r="264" ht="15.75" customHeight="1">
      <c r="A264" s="144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</row>
    <row r="265" ht="15.75" customHeight="1">
      <c r="A265" s="144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</row>
    <row r="266" ht="15.75" customHeight="1">
      <c r="A266" s="144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</row>
    <row r="267" ht="15.75" customHeight="1">
      <c r="A267" s="144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</row>
    <row r="268" ht="15.75" customHeight="1">
      <c r="A268" s="144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</row>
    <row r="269" ht="15.75" customHeight="1">
      <c r="A269" s="144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</row>
    <row r="270" ht="15.75" customHeight="1">
      <c r="A270" s="144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</row>
    <row r="271" ht="15.75" customHeight="1">
      <c r="A271" s="144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</row>
    <row r="272" ht="15.75" customHeight="1">
      <c r="A272" s="144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</row>
    <row r="273" ht="15.75" customHeight="1">
      <c r="A273" s="144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</row>
    <row r="274" ht="15.75" customHeight="1">
      <c r="A274" s="144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</row>
    <row r="275" ht="15.75" customHeight="1">
      <c r="A275" s="144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</row>
    <row r="276" ht="15.75" customHeight="1">
      <c r="A276" s="144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</row>
    <row r="277" ht="15.75" customHeight="1">
      <c r="A277" s="144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</row>
    <row r="278" ht="15.75" customHeight="1">
      <c r="A278" s="144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</row>
    <row r="279" ht="15.75" customHeight="1">
      <c r="A279" s="144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</row>
    <row r="280" ht="15.75" customHeight="1">
      <c r="A280" s="144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</row>
    <row r="281" ht="15.75" customHeight="1">
      <c r="A281" s="144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</row>
    <row r="282" ht="15.75" customHeight="1">
      <c r="A282" s="144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</row>
    <row r="283" ht="15.75" customHeight="1">
      <c r="A283" s="144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</row>
    <row r="284" ht="15.75" customHeight="1">
      <c r="A284" s="144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</row>
    <row r="285" ht="15.75" customHeight="1">
      <c r="A285" s="144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</row>
    <row r="286" ht="15.75" customHeight="1">
      <c r="A286" s="144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</row>
    <row r="287" ht="15.75" customHeight="1">
      <c r="A287" s="144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</row>
    <row r="288" ht="15.75" customHeight="1">
      <c r="A288" s="144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</row>
    <row r="289" ht="15.75" customHeight="1">
      <c r="A289" s="144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</row>
    <row r="290" ht="15.75" customHeight="1">
      <c r="A290" s="144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</row>
    <row r="291" ht="15.75" customHeight="1">
      <c r="A291" s="144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</row>
    <row r="292" ht="15.75" customHeight="1">
      <c r="A292" s="144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</row>
    <row r="293" ht="15.75" customHeight="1">
      <c r="A293" s="144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</row>
    <row r="294" ht="15.75" customHeight="1">
      <c r="A294" s="144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</row>
    <row r="295" ht="15.75" customHeight="1">
      <c r="A295" s="144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</row>
    <row r="296" ht="15.75" customHeight="1">
      <c r="A296" s="144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</row>
    <row r="297" ht="15.75" customHeight="1">
      <c r="A297" s="144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</row>
    <row r="298" ht="15.75" customHeight="1">
      <c r="A298" s="144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</row>
    <row r="299" ht="15.75" customHeight="1">
      <c r="A299" s="144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</row>
    <row r="300" ht="15.75" customHeight="1">
      <c r="A300" s="144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</row>
    <row r="301" ht="15.75" customHeight="1">
      <c r="A301" s="144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</row>
    <row r="302" ht="15.75" customHeight="1">
      <c r="A302" s="144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</row>
    <row r="303" ht="15.75" customHeight="1">
      <c r="A303" s="144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</row>
    <row r="304" ht="15.75" customHeight="1">
      <c r="A304" s="144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</row>
    <row r="305" ht="15.75" customHeight="1">
      <c r="A305" s="144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</row>
    <row r="306" ht="15.75" customHeight="1">
      <c r="A306" s="144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</row>
    <row r="307" ht="15.75" customHeight="1">
      <c r="A307" s="144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</row>
    <row r="308" ht="15.75" customHeight="1">
      <c r="A308" s="144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</row>
    <row r="309" ht="15.75" customHeight="1">
      <c r="A309" s="144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</row>
    <row r="310" ht="15.75" customHeight="1">
      <c r="A310" s="144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</row>
    <row r="311" ht="15.75" customHeight="1">
      <c r="A311" s="144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</row>
    <row r="312" ht="15.75" customHeight="1">
      <c r="A312" s="144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</row>
    <row r="313" ht="15.75" customHeight="1">
      <c r="A313" s="144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</row>
    <row r="314" ht="15.75" customHeight="1">
      <c r="A314" s="144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</row>
    <row r="315" ht="15.75" customHeight="1">
      <c r="A315" s="144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</row>
    <row r="316" ht="15.75" customHeight="1">
      <c r="A316" s="144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</row>
    <row r="317" ht="15.75" customHeight="1">
      <c r="A317" s="144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</row>
    <row r="318" ht="15.75" customHeight="1">
      <c r="A318" s="144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</row>
    <row r="319" ht="15.75" customHeight="1">
      <c r="A319" s="144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</row>
    <row r="320" ht="15.75" customHeight="1">
      <c r="A320" s="144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</row>
    <row r="321" ht="15.75" customHeight="1">
      <c r="A321" s="144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</row>
    <row r="322" ht="15.75" customHeight="1">
      <c r="A322" s="144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</row>
    <row r="323" ht="15.75" customHeight="1">
      <c r="A323" s="144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</row>
    <row r="324" ht="15.75" customHeight="1">
      <c r="A324" s="144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</row>
    <row r="325" ht="15.75" customHeight="1">
      <c r="A325" s="144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</row>
    <row r="326" ht="15.75" customHeight="1">
      <c r="A326" s="144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</row>
    <row r="327" ht="15.75" customHeight="1">
      <c r="A327" s="144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</row>
    <row r="328" ht="15.75" customHeight="1">
      <c r="A328" s="144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</row>
    <row r="329" ht="15.75" customHeight="1">
      <c r="A329" s="144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</row>
    <row r="330" ht="15.75" customHeight="1">
      <c r="A330" s="144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</row>
    <row r="331" ht="15.75" customHeight="1">
      <c r="A331" s="144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</row>
    <row r="332" ht="15.75" customHeight="1">
      <c r="A332" s="144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</row>
    <row r="333" ht="15.75" customHeight="1">
      <c r="A333" s="144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</row>
    <row r="334" ht="15.75" customHeight="1">
      <c r="A334" s="144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</row>
    <row r="335" ht="15.75" customHeight="1">
      <c r="A335" s="144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</row>
    <row r="336" ht="15.75" customHeight="1">
      <c r="A336" s="144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</row>
    <row r="337" ht="15.75" customHeight="1">
      <c r="A337" s="144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</row>
    <row r="338" ht="15.75" customHeight="1">
      <c r="A338" s="144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</row>
    <row r="339" ht="15.75" customHeight="1">
      <c r="A339" s="144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</row>
    <row r="340" ht="15.75" customHeight="1">
      <c r="A340" s="144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</row>
    <row r="341" ht="15.75" customHeight="1">
      <c r="A341" s="144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</row>
    <row r="342" ht="15.75" customHeight="1">
      <c r="A342" s="144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</row>
    <row r="343" ht="15.75" customHeight="1">
      <c r="A343" s="144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3" t="s">
        <v>208</v>
      </c>
      <c r="I1" s="118"/>
      <c r="AA1" s="3"/>
      <c r="AB1" s="118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9"/>
      <c r="K3" s="120">
        <f t="shared" ref="K3:K68" si="1">IFS(F3=H3+2,3,F3=H3-2,0,F3=H3+1,2,F3=H3-1,1,F3="","")</f>
        <v>3</v>
      </c>
      <c r="L3" s="121">
        <f t="shared" ref="L3:L68" si="2">IFS(H3=F3+2,3,H3=F3-2,0,H3=F3+1,2,H3=F3-1,1,H3="","")</f>
        <v>0</v>
      </c>
      <c r="M3" s="119"/>
      <c r="N3" s="121">
        <v>1.0</v>
      </c>
      <c r="O3" s="122" t="s">
        <v>33</v>
      </c>
      <c r="P3" s="121">
        <f t="shared" ref="P3:P14" si="3">SUMIF(E$3:E$68,O3,K$3:K$68)+SUMIF(I$3:I$68,O3,L$3:L$68)</f>
        <v>6</v>
      </c>
      <c r="Q3" s="123">
        <f t="shared" ref="Q3:Q14" si="4">COUNTIFS(E$3:E$68,O3,K$3:K$68,2)+COUNTIFS(I$3:I$68,O3,L$3:L$68,2)+COUNTIFS(E$3:E$68,O3,K$3:K$68,3)+COUNTIFS(I$3:I$68,O3,L$3:L$68,3)</f>
        <v>2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4</v>
      </c>
      <c r="U3" s="124">
        <f t="shared" ref="U3:U14" si="7">SUMIF(E$3:E$68,O3,H$3:H$68)+SUMIF(I$3:I$68,O3,F$3:F$68)</f>
        <v>2</v>
      </c>
      <c r="V3" s="121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111</v>
      </c>
      <c r="P4" s="121">
        <f t="shared" si="3"/>
        <v>1</v>
      </c>
      <c r="Q4" s="123">
        <f t="shared" si="4"/>
        <v>0</v>
      </c>
      <c r="R4" s="123"/>
      <c r="S4" s="124">
        <f t="shared" si="5"/>
        <v>3</v>
      </c>
      <c r="T4" s="121">
        <f t="shared" si="6"/>
        <v>1</v>
      </c>
      <c r="U4" s="124">
        <f t="shared" si="7"/>
        <v>6</v>
      </c>
      <c r="V4" s="121">
        <f t="shared" si="8"/>
        <v>-5</v>
      </c>
      <c r="X4" s="108" t="s">
        <v>61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9"/>
      <c r="K5" s="120">
        <f t="shared" si="1"/>
        <v>3</v>
      </c>
      <c r="L5" s="121">
        <f t="shared" si="2"/>
        <v>0</v>
      </c>
      <c r="M5" s="119"/>
      <c r="N5" s="121">
        <v>3.0</v>
      </c>
      <c r="O5" s="122" t="s">
        <v>94</v>
      </c>
      <c r="P5" s="121">
        <f t="shared" si="3"/>
        <v>1</v>
      </c>
      <c r="Q5" s="123">
        <f t="shared" si="4"/>
        <v>0</v>
      </c>
      <c r="R5" s="123"/>
      <c r="S5" s="124">
        <f t="shared" si="5"/>
        <v>3</v>
      </c>
      <c r="T5" s="121">
        <f t="shared" si="6"/>
        <v>1</v>
      </c>
      <c r="U5" s="124">
        <f t="shared" si="7"/>
        <v>6</v>
      </c>
      <c r="V5" s="121">
        <f t="shared" si="8"/>
        <v>-5</v>
      </c>
      <c r="X5" s="108" t="s">
        <v>31</v>
      </c>
      <c r="Y5" s="108">
        <v>1.0</v>
      </c>
      <c r="AA5" s="21" t="s">
        <v>39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116</v>
      </c>
      <c r="P6" s="121">
        <f t="shared" si="3"/>
        <v>6</v>
      </c>
      <c r="Q6" s="123">
        <f t="shared" si="4"/>
        <v>2</v>
      </c>
      <c r="R6" s="123"/>
      <c r="S6" s="124">
        <f t="shared" si="5"/>
        <v>1</v>
      </c>
      <c r="T6" s="121">
        <f t="shared" si="6"/>
        <v>4</v>
      </c>
      <c r="U6" s="124">
        <f t="shared" si="7"/>
        <v>2</v>
      </c>
      <c r="V6" s="121">
        <f t="shared" si="8"/>
        <v>2</v>
      </c>
      <c r="AA6" s="21" t="s">
        <v>42</v>
      </c>
      <c r="AB6" s="63" t="s">
        <v>113</v>
      </c>
      <c r="AC6" s="22">
        <v>7.0</v>
      </c>
      <c r="AD6" s="22">
        <v>3.0</v>
      </c>
      <c r="AE6" s="22"/>
      <c r="AF6" s="23">
        <v>0.0</v>
      </c>
      <c r="AG6" s="22">
        <v>6.0</v>
      </c>
      <c r="AH6" s="23">
        <v>2.0</v>
      </c>
      <c r="AI6" s="22">
        <v>4.0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37</v>
      </c>
      <c r="P7" s="121">
        <f t="shared" si="3"/>
        <v>9</v>
      </c>
      <c r="Q7" s="123">
        <f t="shared" si="4"/>
        <v>3</v>
      </c>
      <c r="R7" s="123"/>
      <c r="S7" s="124">
        <f t="shared" si="5"/>
        <v>0</v>
      </c>
      <c r="T7" s="121">
        <f t="shared" si="6"/>
        <v>6</v>
      </c>
      <c r="U7" s="124">
        <f t="shared" si="7"/>
        <v>0</v>
      </c>
      <c r="V7" s="121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9"/>
      <c r="K8" s="120">
        <f t="shared" si="1"/>
        <v>2</v>
      </c>
      <c r="L8" s="121">
        <f t="shared" si="2"/>
        <v>1</v>
      </c>
      <c r="M8" s="119"/>
      <c r="N8" s="121">
        <v>6.0</v>
      </c>
      <c r="O8" s="122" t="s">
        <v>25</v>
      </c>
      <c r="P8" s="121">
        <f t="shared" si="3"/>
        <v>9</v>
      </c>
      <c r="Q8" s="123">
        <f t="shared" si="4"/>
        <v>3</v>
      </c>
      <c r="R8" s="123"/>
      <c r="S8" s="124">
        <f t="shared" si="5"/>
        <v>0</v>
      </c>
      <c r="T8" s="121">
        <f t="shared" si="6"/>
        <v>6</v>
      </c>
      <c r="U8" s="124">
        <f t="shared" si="7"/>
        <v>0</v>
      </c>
      <c r="V8" s="121">
        <f t="shared" si="8"/>
        <v>6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1.0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61</v>
      </c>
      <c r="P9" s="121">
        <f t="shared" si="3"/>
        <v>3</v>
      </c>
      <c r="Q9" s="123">
        <f t="shared" si="4"/>
        <v>1</v>
      </c>
      <c r="R9" s="123"/>
      <c r="S9" s="124">
        <f t="shared" si="5"/>
        <v>2</v>
      </c>
      <c r="T9" s="121">
        <f t="shared" si="6"/>
        <v>2</v>
      </c>
      <c r="U9" s="124">
        <f t="shared" si="7"/>
        <v>4</v>
      </c>
      <c r="V9" s="121">
        <f t="shared" si="8"/>
        <v>-2</v>
      </c>
      <c r="AA9" s="21">
        <v>7.0</v>
      </c>
      <c r="AB9" s="63" t="s">
        <v>61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9"/>
      <c r="K10" s="120">
        <f t="shared" si="1"/>
        <v>3</v>
      </c>
      <c r="L10" s="121">
        <f t="shared" si="2"/>
        <v>0</v>
      </c>
      <c r="M10" s="119"/>
      <c r="N10" s="121">
        <v>8.0</v>
      </c>
      <c r="O10" s="122" t="s">
        <v>43</v>
      </c>
      <c r="P10" s="121">
        <f t="shared" si="3"/>
        <v>9</v>
      </c>
      <c r="Q10" s="123">
        <f t="shared" si="4"/>
        <v>3</v>
      </c>
      <c r="R10" s="123"/>
      <c r="S10" s="124">
        <f t="shared" si="5"/>
        <v>0</v>
      </c>
      <c r="T10" s="121">
        <f t="shared" si="6"/>
        <v>6</v>
      </c>
      <c r="U10" s="124">
        <f t="shared" si="7"/>
        <v>0</v>
      </c>
      <c r="V10" s="121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9"/>
      <c r="K11" s="120">
        <f t="shared" si="1"/>
        <v>3</v>
      </c>
      <c r="L11" s="121">
        <f t="shared" si="2"/>
        <v>0</v>
      </c>
      <c r="M11" s="119"/>
      <c r="N11" s="121">
        <v>9.0</v>
      </c>
      <c r="O11" s="122" t="s">
        <v>40</v>
      </c>
      <c r="P11" s="121">
        <f t="shared" si="3"/>
        <v>0</v>
      </c>
      <c r="Q11" s="123">
        <f t="shared" si="4"/>
        <v>0</v>
      </c>
      <c r="R11" s="123"/>
      <c r="S11" s="124">
        <f t="shared" si="5"/>
        <v>3</v>
      </c>
      <c r="T11" s="121">
        <f t="shared" si="6"/>
        <v>0</v>
      </c>
      <c r="U11" s="124">
        <f t="shared" si="7"/>
        <v>6</v>
      </c>
      <c r="V11" s="121">
        <f t="shared" si="8"/>
        <v>-6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9"/>
      <c r="K12" s="120">
        <f t="shared" si="1"/>
        <v>0</v>
      </c>
      <c r="L12" s="121">
        <f t="shared" si="2"/>
        <v>3</v>
      </c>
      <c r="M12" s="119"/>
      <c r="N12" s="121">
        <v>10.0</v>
      </c>
      <c r="O12" s="126" t="s">
        <v>63</v>
      </c>
      <c r="P12" s="121">
        <f t="shared" si="3"/>
        <v>3</v>
      </c>
      <c r="Q12" s="123">
        <f t="shared" si="4"/>
        <v>1</v>
      </c>
      <c r="R12" s="123"/>
      <c r="S12" s="124">
        <f t="shared" si="5"/>
        <v>2</v>
      </c>
      <c r="T12" s="121">
        <f t="shared" si="6"/>
        <v>2</v>
      </c>
      <c r="U12" s="124">
        <f t="shared" si="7"/>
        <v>4</v>
      </c>
      <c r="V12" s="121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110</v>
      </c>
      <c r="P13" s="121">
        <f t="shared" si="3"/>
        <v>0</v>
      </c>
      <c r="Q13" s="123">
        <f t="shared" si="4"/>
        <v>0</v>
      </c>
      <c r="R13" s="123"/>
      <c r="S13" s="124">
        <f t="shared" si="5"/>
        <v>3</v>
      </c>
      <c r="T13" s="121">
        <f t="shared" si="6"/>
        <v>0</v>
      </c>
      <c r="U13" s="124">
        <f t="shared" si="7"/>
        <v>6</v>
      </c>
      <c r="V13" s="121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9"/>
      <c r="K14" s="120">
        <f t="shared" si="1"/>
        <v>0</v>
      </c>
      <c r="L14" s="121">
        <f t="shared" si="2"/>
        <v>3</v>
      </c>
      <c r="M14" s="119"/>
      <c r="N14" s="128">
        <v>12.0</v>
      </c>
      <c r="O14" s="127" t="s">
        <v>113</v>
      </c>
      <c r="P14" s="121">
        <f t="shared" si="3"/>
        <v>7</v>
      </c>
      <c r="Q14" s="123">
        <f t="shared" si="4"/>
        <v>3</v>
      </c>
      <c r="S14" s="124">
        <f t="shared" si="5"/>
        <v>0</v>
      </c>
      <c r="T14" s="121">
        <f t="shared" si="6"/>
        <v>6</v>
      </c>
      <c r="U14" s="124">
        <f t="shared" si="7"/>
        <v>2</v>
      </c>
      <c r="V14" s="121">
        <f t="shared" si="8"/>
        <v>4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37</v>
      </c>
      <c r="J15" s="119"/>
      <c r="K15" s="120">
        <f t="shared" si="1"/>
        <v>0</v>
      </c>
      <c r="L15" s="121">
        <f t="shared" si="2"/>
        <v>3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209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9"/>
      <c r="K17" s="120">
        <f t="shared" si="1"/>
        <v>3</v>
      </c>
      <c r="L17" s="121">
        <f t="shared" si="2"/>
        <v>0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30"/>
      <c r="K18" s="120">
        <f t="shared" si="1"/>
        <v>3</v>
      </c>
      <c r="L18" s="121">
        <f t="shared" si="2"/>
        <v>0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  <c r="AJ20" s="3"/>
    </row>
    <row r="21" ht="15.75" customHeight="1">
      <c r="A21" s="10">
        <v>4.0</v>
      </c>
      <c r="B21" s="131"/>
      <c r="C21" s="132"/>
      <c r="D21" s="132"/>
      <c r="E21" s="14" t="s">
        <v>37</v>
      </c>
      <c r="F21" s="30"/>
      <c r="G21" s="30" t="s">
        <v>24</v>
      </c>
      <c r="H21" s="30"/>
      <c r="I21" s="14" t="s">
        <v>113</v>
      </c>
      <c r="J21" s="119"/>
      <c r="K21" s="120" t="str">
        <f t="shared" si="1"/>
        <v/>
      </c>
      <c r="L21" s="121" t="str">
        <f t="shared" si="2"/>
        <v/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  <c r="AJ21" s="3"/>
    </row>
    <row r="22" ht="15.75" customHeight="1">
      <c r="A22" s="24"/>
      <c r="B22" s="133"/>
      <c r="C22" s="132"/>
      <c r="D22" s="132"/>
      <c r="E22" s="14" t="s">
        <v>61</v>
      </c>
      <c r="F22" s="30"/>
      <c r="G22" s="30" t="s">
        <v>24</v>
      </c>
      <c r="H22" s="30"/>
      <c r="I22" s="14" t="s">
        <v>94</v>
      </c>
      <c r="J22" s="119"/>
      <c r="K22" s="120" t="str">
        <f t="shared" si="1"/>
        <v/>
      </c>
      <c r="L22" s="121" t="str">
        <f t="shared" si="2"/>
        <v/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  <c r="AJ22" s="3"/>
    </row>
    <row r="23" ht="15.75" customHeight="1">
      <c r="A23" s="24"/>
      <c r="B23" s="133"/>
      <c r="C23" s="132"/>
      <c r="D23" s="132"/>
      <c r="E23" s="14" t="s">
        <v>40</v>
      </c>
      <c r="F23" s="30"/>
      <c r="G23" s="30" t="s">
        <v>24</v>
      </c>
      <c r="H23" s="30"/>
      <c r="I23" s="14" t="s">
        <v>33</v>
      </c>
      <c r="J23" s="119"/>
      <c r="K23" s="120" t="str">
        <f t="shared" si="1"/>
        <v/>
      </c>
      <c r="L23" s="121" t="str">
        <f t="shared" si="2"/>
        <v/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33"/>
      <c r="C24" s="132"/>
      <c r="D24" s="132"/>
      <c r="E24" s="14" t="s">
        <v>110</v>
      </c>
      <c r="F24" s="30"/>
      <c r="G24" s="30" t="s">
        <v>24</v>
      </c>
      <c r="H24" s="30"/>
      <c r="I24" s="14" t="s">
        <v>63</v>
      </c>
      <c r="J24" s="119"/>
      <c r="K24" s="120" t="str">
        <f t="shared" si="1"/>
        <v/>
      </c>
      <c r="L24" s="121" t="str">
        <f t="shared" si="2"/>
        <v/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33"/>
      <c r="C25" s="132"/>
      <c r="D25" s="132"/>
      <c r="E25" s="14" t="s">
        <v>111</v>
      </c>
      <c r="F25" s="30"/>
      <c r="G25" s="30" t="s">
        <v>24</v>
      </c>
      <c r="H25" s="30"/>
      <c r="I25" s="14" t="s">
        <v>43</v>
      </c>
      <c r="J25" s="119"/>
      <c r="K25" s="120" t="str">
        <f t="shared" si="1"/>
        <v/>
      </c>
      <c r="L25" s="121" t="str">
        <f t="shared" si="2"/>
        <v/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33"/>
      <c r="C26" s="132"/>
      <c r="D26" s="132"/>
      <c r="E26" s="14" t="s">
        <v>116</v>
      </c>
      <c r="F26" s="30"/>
      <c r="G26" s="30" t="s">
        <v>24</v>
      </c>
      <c r="H26" s="30"/>
      <c r="I26" s="14" t="s">
        <v>25</v>
      </c>
      <c r="J26" s="119"/>
      <c r="K26" s="120" t="str">
        <f t="shared" si="1"/>
        <v/>
      </c>
      <c r="L26" s="121" t="str">
        <f t="shared" si="2"/>
        <v/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33"/>
      <c r="C27" s="132"/>
      <c r="D27" s="132"/>
      <c r="E27" s="14" t="s">
        <v>37</v>
      </c>
      <c r="F27" s="30"/>
      <c r="G27" s="30" t="s">
        <v>24</v>
      </c>
      <c r="H27" s="30"/>
      <c r="I27" s="14" t="s">
        <v>61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33"/>
      <c r="C28" s="132"/>
      <c r="D28" s="132"/>
      <c r="E28" s="14" t="s">
        <v>94</v>
      </c>
      <c r="F28" s="30"/>
      <c r="G28" s="30" t="s">
        <v>24</v>
      </c>
      <c r="H28" s="30"/>
      <c r="I28" s="14" t="s">
        <v>40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33"/>
      <c r="C29" s="132"/>
      <c r="D29" s="132"/>
      <c r="E29" s="14" t="s">
        <v>33</v>
      </c>
      <c r="F29" s="30"/>
      <c r="G29" s="30" t="s">
        <v>24</v>
      </c>
      <c r="H29" s="30"/>
      <c r="I29" s="14" t="s">
        <v>110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33"/>
      <c r="C30" s="132"/>
      <c r="D30" s="132"/>
      <c r="E30" s="14" t="s">
        <v>63</v>
      </c>
      <c r="F30" s="30"/>
      <c r="G30" s="30" t="s">
        <v>24</v>
      </c>
      <c r="H30" s="30"/>
      <c r="I30" s="14" t="s">
        <v>111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33"/>
      <c r="C31" s="132"/>
      <c r="D31" s="132"/>
      <c r="E31" s="14" t="s">
        <v>43</v>
      </c>
      <c r="F31" s="30"/>
      <c r="G31" s="30" t="s">
        <v>24</v>
      </c>
      <c r="H31" s="30"/>
      <c r="I31" s="14" t="s">
        <v>116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33"/>
      <c r="C32" s="132"/>
      <c r="D32" s="132"/>
      <c r="E32" s="14" t="s">
        <v>113</v>
      </c>
      <c r="F32" s="30"/>
      <c r="G32" s="30" t="s">
        <v>24</v>
      </c>
      <c r="H32" s="30"/>
      <c r="I32" s="14" t="s">
        <v>25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3"/>
      <c r="C33" s="134"/>
      <c r="D33" s="132"/>
      <c r="E33" s="14" t="s">
        <v>61</v>
      </c>
      <c r="F33" s="30"/>
      <c r="G33" s="30" t="s">
        <v>24</v>
      </c>
      <c r="H33" s="30"/>
      <c r="I33" s="14" t="s">
        <v>113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3"/>
      <c r="C34" s="134"/>
      <c r="D34" s="132"/>
      <c r="E34" s="14" t="s">
        <v>40</v>
      </c>
      <c r="F34" s="30"/>
      <c r="G34" s="30" t="s">
        <v>24</v>
      </c>
      <c r="H34" s="30"/>
      <c r="I34" s="14" t="s">
        <v>37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3"/>
      <c r="C35" s="134"/>
      <c r="D35" s="132"/>
      <c r="E35" s="14" t="s">
        <v>110</v>
      </c>
      <c r="F35" s="30"/>
      <c r="G35" s="30" t="s">
        <v>24</v>
      </c>
      <c r="H35" s="30"/>
      <c r="I35" s="14" t="s">
        <v>94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3"/>
      <c r="C36" s="134"/>
      <c r="D36" s="132"/>
      <c r="E36" s="14" t="s">
        <v>111</v>
      </c>
      <c r="F36" s="30"/>
      <c r="G36" s="30" t="s">
        <v>24</v>
      </c>
      <c r="H36" s="30"/>
      <c r="I36" s="14" t="s">
        <v>33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3"/>
      <c r="C37" s="134"/>
      <c r="D37" s="132"/>
      <c r="E37" s="14" t="s">
        <v>116</v>
      </c>
      <c r="F37" s="30"/>
      <c r="G37" s="30" t="s">
        <v>24</v>
      </c>
      <c r="H37" s="30"/>
      <c r="I37" s="14" t="s">
        <v>63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3"/>
      <c r="C38" s="134"/>
      <c r="D38" s="132"/>
      <c r="E38" s="14" t="s">
        <v>25</v>
      </c>
      <c r="F38" s="30"/>
      <c r="G38" s="30" t="s">
        <v>24</v>
      </c>
      <c r="H38" s="30"/>
      <c r="I38" s="14" t="s">
        <v>43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3"/>
      <c r="C39" s="132"/>
      <c r="D39" s="132"/>
      <c r="E39" s="14" t="s">
        <v>61</v>
      </c>
      <c r="F39" s="30"/>
      <c r="G39" s="30" t="s">
        <v>24</v>
      </c>
      <c r="H39" s="30"/>
      <c r="I39" s="14" t="s">
        <v>40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3"/>
      <c r="C40" s="132"/>
      <c r="D40" s="132"/>
      <c r="E40" s="14" t="s">
        <v>37</v>
      </c>
      <c r="F40" s="30"/>
      <c r="G40" s="30" t="s">
        <v>24</v>
      </c>
      <c r="H40" s="30"/>
      <c r="I40" s="14" t="s">
        <v>110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3"/>
      <c r="C41" s="132"/>
      <c r="D41" s="135"/>
      <c r="E41" s="40" t="s">
        <v>94</v>
      </c>
      <c r="F41" s="30"/>
      <c r="G41" s="30" t="s">
        <v>24</v>
      </c>
      <c r="H41" s="30"/>
      <c r="I41" s="40" t="s">
        <v>111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3"/>
      <c r="C42" s="132"/>
      <c r="D42" s="132"/>
      <c r="E42" s="14" t="s">
        <v>33</v>
      </c>
      <c r="F42" s="30"/>
      <c r="G42" s="30" t="s">
        <v>24</v>
      </c>
      <c r="H42" s="30"/>
      <c r="I42" s="14" t="s">
        <v>116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3"/>
      <c r="C43" s="132"/>
      <c r="D43" s="132"/>
      <c r="E43" s="14" t="s">
        <v>63</v>
      </c>
      <c r="F43" s="30"/>
      <c r="G43" s="30" t="s">
        <v>24</v>
      </c>
      <c r="H43" s="30"/>
      <c r="I43" s="14" t="s">
        <v>25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3"/>
      <c r="C44" s="132"/>
      <c r="D44" s="132"/>
      <c r="E44" s="14" t="s">
        <v>113</v>
      </c>
      <c r="F44" s="30"/>
      <c r="G44" s="30" t="s">
        <v>24</v>
      </c>
      <c r="H44" s="30"/>
      <c r="I44" s="14" t="s">
        <v>43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3"/>
      <c r="C45" s="134"/>
      <c r="D45" s="132"/>
      <c r="E45" s="14" t="s">
        <v>40</v>
      </c>
      <c r="F45" s="30"/>
      <c r="G45" s="30" t="s">
        <v>24</v>
      </c>
      <c r="H45" s="30"/>
      <c r="I45" s="14" t="s">
        <v>113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1"/>
      <c r="C46" s="134"/>
      <c r="D46" s="132"/>
      <c r="E46" s="14" t="s">
        <v>110</v>
      </c>
      <c r="F46" s="30"/>
      <c r="G46" s="30" t="s">
        <v>24</v>
      </c>
      <c r="H46" s="30"/>
      <c r="I46" s="14" t="s">
        <v>61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1"/>
      <c r="C47" s="134"/>
      <c r="D47" s="132"/>
      <c r="E47" s="14" t="s">
        <v>111</v>
      </c>
      <c r="F47" s="30"/>
      <c r="G47" s="30" t="s">
        <v>24</v>
      </c>
      <c r="H47" s="30"/>
      <c r="I47" s="14" t="s">
        <v>37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1"/>
      <c r="C48" s="134"/>
      <c r="D48" s="132"/>
      <c r="E48" s="40" t="s">
        <v>116</v>
      </c>
      <c r="F48" s="30"/>
      <c r="G48" s="30" t="s">
        <v>24</v>
      </c>
      <c r="H48" s="30"/>
      <c r="I48" s="40" t="s">
        <v>94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1"/>
      <c r="C49" s="134"/>
      <c r="D49" s="132"/>
      <c r="E49" s="40" t="s">
        <v>25</v>
      </c>
      <c r="F49" s="30"/>
      <c r="G49" s="30" t="s">
        <v>24</v>
      </c>
      <c r="H49" s="30"/>
      <c r="I49" s="40" t="s">
        <v>33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1"/>
      <c r="C50" s="134"/>
      <c r="D50" s="132"/>
      <c r="E50" s="14" t="s">
        <v>43</v>
      </c>
      <c r="F50" s="30"/>
      <c r="G50" s="30" t="s">
        <v>24</v>
      </c>
      <c r="H50" s="30"/>
      <c r="I50" s="14" t="s">
        <v>63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3"/>
      <c r="C51" s="134"/>
      <c r="D51" s="132"/>
      <c r="E51" s="14" t="s">
        <v>40</v>
      </c>
      <c r="F51" s="132"/>
      <c r="G51" s="30" t="s">
        <v>24</v>
      </c>
      <c r="H51" s="30"/>
      <c r="I51" s="14" t="s">
        <v>110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3"/>
      <c r="C52" s="134"/>
      <c r="D52" s="132"/>
      <c r="E52" s="14" t="s">
        <v>61</v>
      </c>
      <c r="F52" s="132"/>
      <c r="G52" s="30" t="s">
        <v>24</v>
      </c>
      <c r="H52" s="30"/>
      <c r="I52" s="14" t="s">
        <v>111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3"/>
      <c r="C53" s="134"/>
      <c r="D53" s="132"/>
      <c r="E53" s="14" t="s">
        <v>37</v>
      </c>
      <c r="F53" s="132"/>
      <c r="G53" s="30" t="s">
        <v>24</v>
      </c>
      <c r="H53" s="30"/>
      <c r="I53" s="14" t="s">
        <v>116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3"/>
      <c r="C54" s="134"/>
      <c r="D54" s="132"/>
      <c r="E54" s="14" t="s">
        <v>94</v>
      </c>
      <c r="F54" s="132"/>
      <c r="G54" s="30" t="s">
        <v>24</v>
      </c>
      <c r="H54" s="30"/>
      <c r="I54" s="14" t="s">
        <v>25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3"/>
      <c r="C55" s="134"/>
      <c r="D55" s="132"/>
      <c r="E55" s="14" t="s">
        <v>33</v>
      </c>
      <c r="F55" s="132"/>
      <c r="G55" s="30" t="s">
        <v>24</v>
      </c>
      <c r="H55" s="30"/>
      <c r="I55" s="14" t="s">
        <v>43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3"/>
      <c r="C56" s="134"/>
      <c r="D56" s="132"/>
      <c r="E56" s="14" t="s">
        <v>113</v>
      </c>
      <c r="F56" s="132"/>
      <c r="G56" s="30" t="s">
        <v>24</v>
      </c>
      <c r="H56" s="30"/>
      <c r="I56" s="14" t="s">
        <v>63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1"/>
      <c r="C57" s="132"/>
      <c r="D57" s="132"/>
      <c r="E57" s="14" t="s">
        <v>113</v>
      </c>
      <c r="F57" s="30"/>
      <c r="G57" s="30" t="s">
        <v>24</v>
      </c>
      <c r="H57" s="30"/>
      <c r="I57" s="14" t="s">
        <v>110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3"/>
      <c r="C58" s="132"/>
      <c r="D58" s="132"/>
      <c r="E58" s="14" t="s">
        <v>111</v>
      </c>
      <c r="F58" s="30"/>
      <c r="G58" s="30" t="s">
        <v>24</v>
      </c>
      <c r="H58" s="30"/>
      <c r="I58" s="14" t="s">
        <v>40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3"/>
      <c r="C59" s="132"/>
      <c r="D59" s="132"/>
      <c r="E59" s="14" t="s">
        <v>116</v>
      </c>
      <c r="F59" s="30"/>
      <c r="G59" s="30" t="s">
        <v>24</v>
      </c>
      <c r="H59" s="30"/>
      <c r="I59" s="14" t="s">
        <v>61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3"/>
      <c r="C60" s="132"/>
      <c r="D60" s="132"/>
      <c r="E60" s="14" t="s">
        <v>25</v>
      </c>
      <c r="F60" s="30"/>
      <c r="G60" s="30" t="s">
        <v>24</v>
      </c>
      <c r="H60" s="30"/>
      <c r="I60" s="14" t="s">
        <v>37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3"/>
      <c r="C61" s="132"/>
      <c r="D61" s="132"/>
      <c r="E61" s="14" t="s">
        <v>43</v>
      </c>
      <c r="F61" s="30"/>
      <c r="G61" s="30" t="s">
        <v>24</v>
      </c>
      <c r="H61" s="30"/>
      <c r="I61" s="14" t="s">
        <v>94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3"/>
      <c r="C62" s="132"/>
      <c r="D62" s="132"/>
      <c r="E62" s="14" t="s">
        <v>63</v>
      </c>
      <c r="F62" s="30"/>
      <c r="G62" s="30" t="s">
        <v>24</v>
      </c>
      <c r="H62" s="30"/>
      <c r="I62" s="14" t="s">
        <v>33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3"/>
      <c r="C63" s="134"/>
      <c r="D63" s="132"/>
      <c r="E63" s="14" t="s">
        <v>110</v>
      </c>
      <c r="F63" s="30"/>
      <c r="G63" s="30" t="s">
        <v>24</v>
      </c>
      <c r="H63" s="30"/>
      <c r="I63" s="14" t="s">
        <v>111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3"/>
      <c r="C64" s="134"/>
      <c r="D64" s="132"/>
      <c r="E64" s="14" t="s">
        <v>40</v>
      </c>
      <c r="F64" s="30"/>
      <c r="G64" s="30" t="s">
        <v>24</v>
      </c>
      <c r="H64" s="30"/>
      <c r="I64" s="14" t="s">
        <v>116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3"/>
      <c r="C65" s="134"/>
      <c r="D65" s="132"/>
      <c r="E65" s="14" t="s">
        <v>61</v>
      </c>
      <c r="F65" s="30"/>
      <c r="G65" s="30" t="s">
        <v>24</v>
      </c>
      <c r="H65" s="30"/>
      <c r="I65" s="14" t="s">
        <v>25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3"/>
      <c r="C66" s="134"/>
      <c r="D66" s="132"/>
      <c r="E66" s="14" t="s">
        <v>37</v>
      </c>
      <c r="F66" s="30"/>
      <c r="G66" s="30" t="s">
        <v>24</v>
      </c>
      <c r="H66" s="30"/>
      <c r="I66" s="14" t="s">
        <v>43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3"/>
      <c r="C67" s="134"/>
      <c r="D67" s="132"/>
      <c r="E67" s="14" t="s">
        <v>94</v>
      </c>
      <c r="F67" s="30"/>
      <c r="G67" s="30" t="s">
        <v>24</v>
      </c>
      <c r="H67" s="30"/>
      <c r="I67" s="14" t="s">
        <v>63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1"/>
      <c r="C68" s="134"/>
      <c r="D68" s="132"/>
      <c r="E68" s="14" t="s">
        <v>33</v>
      </c>
      <c r="F68" s="13"/>
      <c r="G68" s="30" t="s">
        <v>24</v>
      </c>
      <c r="H68" s="13"/>
      <c r="I68" s="14" t="s">
        <v>113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3" t="s">
        <v>210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9"/>
      <c r="K74" s="120">
        <f t="shared" ref="K74:K139" si="9">IFS(F74=H74+2,3,F74=H74-2,0,F74=H74+1,2,F74=H74-1,1,F74="","")</f>
        <v>0</v>
      </c>
      <c r="L74" s="121">
        <f t="shared" ref="L74:L139" si="10">IFS(H74=F74+2,3,H74=F74-2,0,H74=F74+1,2,H74=F74-1,1,H74="","")</f>
        <v>3</v>
      </c>
      <c r="M74" s="119"/>
      <c r="N74" s="121">
        <v>1.0</v>
      </c>
      <c r="O74" s="122" t="s">
        <v>162</v>
      </c>
      <c r="P74" s="121">
        <f t="shared" ref="P74:P84" si="11">SUMIF(E$74:E$139,O74,K$74:K$139)+SUMIF(I$74:I$139,O74,L$74:L$139)</f>
        <v>6</v>
      </c>
      <c r="Q74" s="123">
        <f t="shared" ref="Q74:Q84" si="12">COUNTIFS(E$74:E$139,O74,K$74:K$139,2)+COUNTIFS(I$74:I$139,O74,L$74:L$139,2)+COUNTIFS(E$74:E$139,O74,K$74:K$139,3)+COUNTIFS(I$74:I$139,O74,L$74:L$139,3)</f>
        <v>2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1</v>
      </c>
      <c r="T74" s="121">
        <f t="shared" ref="T74:T84" si="14">SUMIF(E$74:E$139,O74,F$74:F$139)+SUMIF(I$74:I$139,O74,H$74:H$139)</f>
        <v>4</v>
      </c>
      <c r="U74" s="124">
        <f t="shared" ref="U74:U84" si="15">SUMIF(E$74:E$139,O74,H$74:H$139)+SUMIF(I$74:I$139,O74,F$74:F$139)</f>
        <v>2</v>
      </c>
      <c r="V74" s="121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7.0</v>
      </c>
      <c r="AD74" s="22">
        <v>3.0</v>
      </c>
      <c r="AE74" s="23"/>
      <c r="AF74" s="23">
        <v>0.0</v>
      </c>
      <c r="AG74" s="22">
        <v>6.0</v>
      </c>
      <c r="AH74" s="23">
        <v>2.0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145</v>
      </c>
      <c r="J75" s="119"/>
      <c r="K75" s="120">
        <f t="shared" si="9"/>
        <v>0</v>
      </c>
      <c r="L75" s="121">
        <f t="shared" si="10"/>
        <v>3</v>
      </c>
      <c r="M75" s="119"/>
      <c r="N75" s="121">
        <v>2.0</v>
      </c>
      <c r="O75" s="122" t="s">
        <v>32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1</v>
      </c>
      <c r="T75" s="121">
        <f t="shared" si="14"/>
        <v>2</v>
      </c>
      <c r="U75" s="124">
        <f t="shared" si="15"/>
        <v>2</v>
      </c>
      <c r="V75" s="121">
        <f t="shared" si="16"/>
        <v>0</v>
      </c>
      <c r="X75" s="108" t="s">
        <v>33</v>
      </c>
      <c r="Y75" s="108">
        <v>3.0</v>
      </c>
      <c r="AA75" s="95" t="s">
        <v>112</v>
      </c>
      <c r="AB75" s="63" t="s">
        <v>159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54</v>
      </c>
      <c r="P76" s="121">
        <f t="shared" si="11"/>
        <v>5</v>
      </c>
      <c r="Q76" s="123">
        <f t="shared" si="12"/>
        <v>2</v>
      </c>
      <c r="R76" s="124"/>
      <c r="S76" s="124">
        <f t="shared" si="13"/>
        <v>0</v>
      </c>
      <c r="T76" s="121">
        <f t="shared" si="14"/>
        <v>4</v>
      </c>
      <c r="U76" s="124">
        <f t="shared" si="15"/>
        <v>1</v>
      </c>
      <c r="V76" s="121">
        <f t="shared" si="16"/>
        <v>3</v>
      </c>
      <c r="X76" s="108" t="s">
        <v>41</v>
      </c>
      <c r="Y76" s="108">
        <v>0.0</v>
      </c>
      <c r="AA76" s="21">
        <v>3.0</v>
      </c>
      <c r="AB76" s="63" t="s">
        <v>162</v>
      </c>
      <c r="AC76" s="22">
        <v>6.0</v>
      </c>
      <c r="AD76" s="22">
        <v>2.0</v>
      </c>
      <c r="AE76" s="23"/>
      <c r="AF76" s="23">
        <v>1.0</v>
      </c>
      <c r="AG76" s="22">
        <v>4.0</v>
      </c>
      <c r="AH76" s="23">
        <v>2.0</v>
      </c>
      <c r="AI76" s="22">
        <v>2.0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9"/>
      <c r="K77" s="120">
        <f t="shared" si="9"/>
        <v>0</v>
      </c>
      <c r="L77" s="121">
        <f t="shared" si="10"/>
        <v>3</v>
      </c>
      <c r="M77" s="119"/>
      <c r="N77" s="121">
        <v>4.0</v>
      </c>
      <c r="O77" s="122" t="s">
        <v>159</v>
      </c>
      <c r="P77" s="121">
        <f t="shared" si="11"/>
        <v>6</v>
      </c>
      <c r="Q77" s="123">
        <f t="shared" si="12"/>
        <v>2</v>
      </c>
      <c r="R77" s="124"/>
      <c r="S77" s="124">
        <f t="shared" si="13"/>
        <v>0</v>
      </c>
      <c r="T77" s="121">
        <f t="shared" si="14"/>
        <v>4</v>
      </c>
      <c r="U77" s="124">
        <f t="shared" si="15"/>
        <v>0</v>
      </c>
      <c r="V77" s="121">
        <f t="shared" si="16"/>
        <v>4</v>
      </c>
      <c r="AA77" s="21">
        <v>4.0</v>
      </c>
      <c r="AB77" s="63" t="s">
        <v>57</v>
      </c>
      <c r="AC77" s="22">
        <v>6.0</v>
      </c>
      <c r="AD77" s="22">
        <v>2.0</v>
      </c>
      <c r="AE77" s="23"/>
      <c r="AF77" s="23">
        <v>1.0</v>
      </c>
      <c r="AG77" s="22">
        <v>5.0</v>
      </c>
      <c r="AH77" s="23">
        <v>3.0</v>
      </c>
      <c r="AI77" s="22">
        <v>2.0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211</v>
      </c>
      <c r="J78" s="119"/>
      <c r="K78" s="120">
        <f t="shared" si="9"/>
        <v>3</v>
      </c>
      <c r="L78" s="121">
        <f t="shared" si="10"/>
        <v>0</v>
      </c>
      <c r="M78" s="119"/>
      <c r="N78" s="121">
        <v>5.0</v>
      </c>
      <c r="O78" s="122" t="s">
        <v>145</v>
      </c>
      <c r="P78" s="121">
        <f t="shared" si="11"/>
        <v>4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3</v>
      </c>
      <c r="U78" s="124">
        <f t="shared" si="15"/>
        <v>4</v>
      </c>
      <c r="V78" s="121">
        <f t="shared" si="16"/>
        <v>-1</v>
      </c>
      <c r="AA78" s="21">
        <v>5.0</v>
      </c>
      <c r="AB78" s="63" t="s">
        <v>54</v>
      </c>
      <c r="AC78" s="22">
        <v>5.0</v>
      </c>
      <c r="AD78" s="22">
        <v>2.0</v>
      </c>
      <c r="AE78" s="23"/>
      <c r="AF78" s="23">
        <v>0.0</v>
      </c>
      <c r="AG78" s="22">
        <v>4.0</v>
      </c>
      <c r="AH78" s="23">
        <v>1.0</v>
      </c>
      <c r="AI78" s="22">
        <v>3.0</v>
      </c>
      <c r="AJ78" s="17"/>
    </row>
    <row r="79" ht="15.75" customHeight="1">
      <c r="A79" s="28"/>
      <c r="B79" s="133"/>
      <c r="C79" s="134"/>
      <c r="D79" s="132"/>
      <c r="E79" s="14">
        <v>0.0</v>
      </c>
      <c r="F79" s="30"/>
      <c r="G79" s="30" t="s">
        <v>24</v>
      </c>
      <c r="H79" s="30"/>
      <c r="I79" s="14" t="s">
        <v>32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59</v>
      </c>
      <c r="P79" s="121">
        <f t="shared" si="11"/>
        <v>0</v>
      </c>
      <c r="Q79" s="123">
        <f t="shared" si="12"/>
        <v>0</v>
      </c>
      <c r="R79" s="124"/>
      <c r="S79" s="124">
        <f t="shared" si="13"/>
        <v>3</v>
      </c>
      <c r="T79" s="121">
        <f t="shared" si="14"/>
        <v>0</v>
      </c>
      <c r="U79" s="124">
        <f t="shared" si="15"/>
        <v>6</v>
      </c>
      <c r="V79" s="121">
        <f t="shared" si="16"/>
        <v>-6</v>
      </c>
      <c r="AA79" s="21">
        <v>6.0</v>
      </c>
      <c r="AB79" s="63" t="s">
        <v>145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33"/>
      <c r="C80" s="134"/>
      <c r="D80" s="132"/>
      <c r="E80" s="14" t="s">
        <v>54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38</v>
      </c>
      <c r="P80" s="121">
        <f t="shared" si="11"/>
        <v>0</v>
      </c>
      <c r="Q80" s="123">
        <f t="shared" si="12"/>
        <v>0</v>
      </c>
      <c r="R80" s="124"/>
      <c r="S80" s="124">
        <f t="shared" si="13"/>
        <v>3</v>
      </c>
      <c r="T80" s="121">
        <f t="shared" si="14"/>
        <v>0</v>
      </c>
      <c r="U80" s="124">
        <f t="shared" si="15"/>
        <v>6</v>
      </c>
      <c r="V80" s="121">
        <f t="shared" si="16"/>
        <v>-6</v>
      </c>
      <c r="AA80" s="21">
        <v>7.0</v>
      </c>
      <c r="AB80" s="63" t="s">
        <v>188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9"/>
      <c r="K81" s="120">
        <f t="shared" si="9"/>
        <v>0</v>
      </c>
      <c r="L81" s="121">
        <f t="shared" si="10"/>
        <v>3</v>
      </c>
      <c r="M81" s="119"/>
      <c r="N81" s="121">
        <v>8.0</v>
      </c>
      <c r="O81" s="122" t="s">
        <v>23</v>
      </c>
      <c r="P81" s="121">
        <f t="shared" si="11"/>
        <v>7</v>
      </c>
      <c r="Q81" s="123">
        <f t="shared" si="12"/>
        <v>3</v>
      </c>
      <c r="R81" s="124"/>
      <c r="S81" s="124">
        <f t="shared" si="13"/>
        <v>0</v>
      </c>
      <c r="T81" s="121">
        <f t="shared" si="14"/>
        <v>6</v>
      </c>
      <c r="U81" s="124">
        <f t="shared" si="15"/>
        <v>2</v>
      </c>
      <c r="V81" s="121">
        <f t="shared" si="16"/>
        <v>4</v>
      </c>
      <c r="AA81" s="21">
        <v>8.0</v>
      </c>
      <c r="AB81" s="63" t="s">
        <v>211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57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1</v>
      </c>
      <c r="T82" s="121">
        <f t="shared" si="14"/>
        <v>5</v>
      </c>
      <c r="U82" s="124">
        <f t="shared" si="15"/>
        <v>3</v>
      </c>
      <c r="V82" s="121">
        <f t="shared" si="16"/>
        <v>2</v>
      </c>
      <c r="AA82" s="21">
        <v>9.0</v>
      </c>
      <c r="AB82" s="63" t="s">
        <v>32</v>
      </c>
      <c r="AC82" s="22">
        <v>3.0</v>
      </c>
      <c r="AD82" s="22">
        <v>1.0</v>
      </c>
      <c r="AE82" s="23"/>
      <c r="AF82" s="23">
        <v>1.0</v>
      </c>
      <c r="AG82" s="22">
        <v>2.0</v>
      </c>
      <c r="AH82" s="23">
        <v>2.0</v>
      </c>
      <c r="AI82" s="22">
        <v>0.0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9"/>
      <c r="K83" s="120">
        <f t="shared" si="9"/>
        <v>1</v>
      </c>
      <c r="L83" s="121">
        <f t="shared" si="10"/>
        <v>2</v>
      </c>
      <c r="M83" s="119"/>
      <c r="N83" s="121">
        <v>10.0</v>
      </c>
      <c r="O83" s="122" t="s">
        <v>188</v>
      </c>
      <c r="P83" s="121">
        <f t="shared" si="11"/>
        <v>4</v>
      </c>
      <c r="Q83" s="123">
        <f t="shared" si="12"/>
        <v>1</v>
      </c>
      <c r="R83" s="124"/>
      <c r="S83" s="124">
        <f t="shared" si="13"/>
        <v>2</v>
      </c>
      <c r="T83" s="121">
        <f t="shared" si="14"/>
        <v>3</v>
      </c>
      <c r="U83" s="124">
        <f t="shared" si="15"/>
        <v>4</v>
      </c>
      <c r="V83" s="121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3.0</v>
      </c>
      <c r="AG83" s="22">
        <v>0.0</v>
      </c>
      <c r="AH83" s="23">
        <v>6.0</v>
      </c>
      <c r="AI83" s="22">
        <v>-6.0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211</v>
      </c>
      <c r="F84" s="13">
        <v>2.0</v>
      </c>
      <c r="G84" s="30" t="s">
        <v>24</v>
      </c>
      <c r="H84" s="13">
        <v>0.0</v>
      </c>
      <c r="I84" s="14" t="s">
        <v>59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211</v>
      </c>
      <c r="P84" s="121">
        <f t="shared" si="11"/>
        <v>4</v>
      </c>
      <c r="Q84" s="123">
        <f t="shared" si="12"/>
        <v>1</v>
      </c>
      <c r="S84" s="124">
        <f t="shared" si="13"/>
        <v>2</v>
      </c>
      <c r="T84" s="121">
        <f t="shared" si="14"/>
        <v>3</v>
      </c>
      <c r="U84" s="124">
        <f t="shared" si="15"/>
        <v>4</v>
      </c>
      <c r="V84" s="121">
        <f t="shared" si="16"/>
        <v>-1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212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145</v>
      </c>
      <c r="J86" s="119"/>
      <c r="K86" s="120">
        <f t="shared" si="9"/>
        <v>2</v>
      </c>
      <c r="L86" s="121">
        <f t="shared" si="10"/>
        <v>1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38</v>
      </c>
      <c r="J87" s="119"/>
      <c r="K87" s="120">
        <f t="shared" si="9"/>
        <v>3</v>
      </c>
      <c r="L87" s="121">
        <f t="shared" si="10"/>
        <v>0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199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19"/>
      <c r="K88" s="120">
        <f t="shared" si="9"/>
        <v>1</v>
      </c>
      <c r="L88" s="121">
        <f t="shared" si="10"/>
        <v>2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211</v>
      </c>
      <c r="J89" s="130"/>
      <c r="K89" s="120">
        <f t="shared" si="9"/>
        <v>2</v>
      </c>
      <c r="L89" s="121">
        <f t="shared" si="10"/>
        <v>1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142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  <c r="AJ90" s="3"/>
    </row>
    <row r="91" ht="15.75" customHeight="1">
      <c r="A91" s="28"/>
      <c r="B91" s="133"/>
      <c r="C91" s="132"/>
      <c r="D91" s="132"/>
      <c r="E91" s="14">
        <v>0.0</v>
      </c>
      <c r="F91" s="30"/>
      <c r="G91" s="30" t="s">
        <v>24</v>
      </c>
      <c r="H91" s="30"/>
      <c r="I91" s="14" t="s">
        <v>159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  <c r="AJ91" s="3"/>
    </row>
    <row r="92" ht="15.75" customHeight="1">
      <c r="A92" s="115">
        <v>4.0</v>
      </c>
      <c r="B92" s="133"/>
      <c r="C92" s="132"/>
      <c r="D92" s="132"/>
      <c r="E92" s="14" t="s">
        <v>145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  <c r="AJ92" s="3"/>
    </row>
    <row r="93" ht="15.75" customHeight="1">
      <c r="A93" s="24"/>
      <c r="B93" s="133"/>
      <c r="C93" s="132"/>
      <c r="D93" s="132"/>
      <c r="E93" s="14" t="s">
        <v>38</v>
      </c>
      <c r="F93" s="30"/>
      <c r="G93" s="30" t="s">
        <v>24</v>
      </c>
      <c r="H93" s="30"/>
      <c r="I93" s="14" t="s">
        <v>54</v>
      </c>
      <c r="J93" s="119"/>
      <c r="K93" s="120" t="str">
        <f t="shared" si="9"/>
        <v/>
      </c>
      <c r="L93" s="121" t="str">
        <f t="shared" si="10"/>
        <v/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33"/>
      <c r="C94" s="132"/>
      <c r="D94" s="132"/>
      <c r="E94" s="14" t="s">
        <v>57</v>
      </c>
      <c r="F94" s="30"/>
      <c r="G94" s="30" t="s">
        <v>24</v>
      </c>
      <c r="H94" s="30"/>
      <c r="I94" s="14" t="s">
        <v>162</v>
      </c>
      <c r="J94" s="119"/>
      <c r="K94" s="120" t="str">
        <f t="shared" si="9"/>
        <v/>
      </c>
      <c r="L94" s="121" t="str">
        <f t="shared" si="10"/>
        <v/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33"/>
      <c r="C95" s="132"/>
      <c r="D95" s="132"/>
      <c r="E95" s="14" t="s">
        <v>211</v>
      </c>
      <c r="F95" s="30"/>
      <c r="G95" s="30" t="s">
        <v>24</v>
      </c>
      <c r="H95" s="30"/>
      <c r="I95" s="14" t="s">
        <v>188</v>
      </c>
      <c r="J95" s="119"/>
      <c r="K95" s="120" t="str">
        <f t="shared" si="9"/>
        <v/>
      </c>
      <c r="L95" s="121" t="str">
        <f t="shared" si="10"/>
        <v/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33"/>
      <c r="C96" s="132"/>
      <c r="D96" s="132"/>
      <c r="E96" s="14" t="s">
        <v>32</v>
      </c>
      <c r="F96" s="30"/>
      <c r="G96" s="30" t="s">
        <v>24</v>
      </c>
      <c r="H96" s="30"/>
      <c r="I96" s="14" t="s">
        <v>23</v>
      </c>
      <c r="J96" s="119"/>
      <c r="K96" s="120" t="str">
        <f t="shared" si="9"/>
        <v/>
      </c>
      <c r="L96" s="121" t="str">
        <f t="shared" si="10"/>
        <v/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33"/>
      <c r="C97" s="132"/>
      <c r="D97" s="132"/>
      <c r="E97" s="14" t="s">
        <v>159</v>
      </c>
      <c r="F97" s="30"/>
      <c r="G97" s="30" t="s">
        <v>24</v>
      </c>
      <c r="H97" s="30"/>
      <c r="I97" s="14" t="s">
        <v>59</v>
      </c>
      <c r="J97" s="119"/>
      <c r="K97" s="120" t="str">
        <f t="shared" si="9"/>
        <v/>
      </c>
      <c r="L97" s="121" t="str">
        <f t="shared" si="10"/>
        <v/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3"/>
      <c r="C98" s="132"/>
      <c r="D98" s="132"/>
      <c r="E98" s="14" t="s">
        <v>145</v>
      </c>
      <c r="F98" s="30"/>
      <c r="G98" s="30" t="s">
        <v>24</v>
      </c>
      <c r="H98" s="30"/>
      <c r="I98" s="14" t="s">
        <v>38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3"/>
      <c r="C99" s="132"/>
      <c r="D99" s="132"/>
      <c r="E99" s="14" t="s">
        <v>54</v>
      </c>
      <c r="F99" s="132"/>
      <c r="G99" s="30" t="s">
        <v>24</v>
      </c>
      <c r="H99" s="30"/>
      <c r="I99" s="14" t="s">
        <v>57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3"/>
      <c r="C100" s="132"/>
      <c r="D100" s="132"/>
      <c r="E100" s="14" t="s">
        <v>162</v>
      </c>
      <c r="F100" s="132"/>
      <c r="G100" s="30" t="s">
        <v>24</v>
      </c>
      <c r="H100" s="30"/>
      <c r="I100" s="14" t="s">
        <v>211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3"/>
      <c r="C101" s="132"/>
      <c r="D101" s="132"/>
      <c r="E101" s="14" t="s">
        <v>188</v>
      </c>
      <c r="F101" s="132"/>
      <c r="G101" s="30" t="s">
        <v>24</v>
      </c>
      <c r="H101" s="30"/>
      <c r="I101" s="14" t="s">
        <v>32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3"/>
      <c r="C102" s="132"/>
      <c r="D102" s="132"/>
      <c r="E102" s="14" t="s">
        <v>23</v>
      </c>
      <c r="F102" s="132"/>
      <c r="G102" s="30" t="s">
        <v>24</v>
      </c>
      <c r="H102" s="30"/>
      <c r="I102" s="14" t="s">
        <v>159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3"/>
      <c r="C103" s="132"/>
      <c r="D103" s="132"/>
      <c r="E103" s="14">
        <v>0.0</v>
      </c>
      <c r="F103" s="132"/>
      <c r="G103" s="30" t="s">
        <v>24</v>
      </c>
      <c r="H103" s="30"/>
      <c r="I103" s="14" t="s">
        <v>59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3"/>
      <c r="C104" s="134"/>
      <c r="D104" s="132"/>
      <c r="E104" s="14" t="s">
        <v>38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3"/>
      <c r="C105" s="132"/>
      <c r="D105" s="132"/>
      <c r="E105" s="14" t="s">
        <v>57</v>
      </c>
      <c r="F105" s="30"/>
      <c r="G105" s="30" t="s">
        <v>24</v>
      </c>
      <c r="H105" s="30"/>
      <c r="I105" s="14" t="s">
        <v>145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3"/>
      <c r="C106" s="132"/>
      <c r="D106" s="132"/>
      <c r="E106" s="14" t="s">
        <v>211</v>
      </c>
      <c r="F106" s="30"/>
      <c r="G106" s="30" t="s">
        <v>24</v>
      </c>
      <c r="H106" s="30"/>
      <c r="I106" s="14" t="s">
        <v>54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3"/>
      <c r="C107" s="134"/>
      <c r="D107" s="132"/>
      <c r="E107" s="14" t="s">
        <v>32</v>
      </c>
      <c r="F107" s="30"/>
      <c r="G107" s="30" t="s">
        <v>24</v>
      </c>
      <c r="H107" s="30"/>
      <c r="I107" s="14" t="s">
        <v>162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3"/>
      <c r="C108" s="132"/>
      <c r="D108" s="132"/>
      <c r="E108" s="14" t="s">
        <v>159</v>
      </c>
      <c r="F108" s="30"/>
      <c r="G108" s="30" t="s">
        <v>24</v>
      </c>
      <c r="H108" s="30"/>
      <c r="I108" s="14" t="s">
        <v>188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3"/>
      <c r="C109" s="132"/>
      <c r="D109" s="132"/>
      <c r="E109" s="14" t="s">
        <v>59</v>
      </c>
      <c r="F109" s="30"/>
      <c r="G109" s="30" t="s">
        <v>24</v>
      </c>
      <c r="H109" s="30"/>
      <c r="I109" s="14" t="s">
        <v>23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3"/>
      <c r="C110" s="134"/>
      <c r="D110" s="132"/>
      <c r="E110" s="14" t="s">
        <v>38</v>
      </c>
      <c r="F110" s="30"/>
      <c r="G110" s="30" t="s">
        <v>24</v>
      </c>
      <c r="H110" s="30"/>
      <c r="I110" s="14" t="s">
        <v>57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3"/>
      <c r="C111" s="134"/>
      <c r="D111" s="132"/>
      <c r="E111" s="14" t="s">
        <v>145</v>
      </c>
      <c r="F111" s="30"/>
      <c r="G111" s="30" t="s">
        <v>24</v>
      </c>
      <c r="H111" s="30"/>
      <c r="I111" s="14" t="s">
        <v>211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3"/>
      <c r="C112" s="134"/>
      <c r="D112" s="132"/>
      <c r="E112" s="14" t="s">
        <v>54</v>
      </c>
      <c r="F112" s="30"/>
      <c r="G112" s="30" t="s">
        <v>24</v>
      </c>
      <c r="H112" s="30"/>
      <c r="I112" s="14" t="s">
        <v>32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3"/>
      <c r="C113" s="134"/>
      <c r="D113" s="132"/>
      <c r="E113" s="14" t="s">
        <v>162</v>
      </c>
      <c r="F113" s="30"/>
      <c r="G113" s="30" t="s">
        <v>24</v>
      </c>
      <c r="H113" s="30"/>
      <c r="I113" s="14" t="s">
        <v>159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3"/>
      <c r="C114" s="132"/>
      <c r="D114" s="132"/>
      <c r="E114" s="14" t="s">
        <v>188</v>
      </c>
      <c r="F114" s="30"/>
      <c r="G114" s="30" t="s">
        <v>24</v>
      </c>
      <c r="H114" s="30"/>
      <c r="I114" s="14" t="s">
        <v>59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3"/>
      <c r="C115" s="132"/>
      <c r="D115" s="132"/>
      <c r="E115" s="14">
        <v>0.0</v>
      </c>
      <c r="F115" s="30"/>
      <c r="G115" s="30" t="s">
        <v>24</v>
      </c>
      <c r="H115" s="30"/>
      <c r="I115" s="14" t="s">
        <v>23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3"/>
      <c r="C116" s="134"/>
      <c r="D116" s="132"/>
      <c r="E116" s="14" t="s">
        <v>57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3"/>
      <c r="C117" s="134"/>
      <c r="D117" s="132"/>
      <c r="E117" s="14" t="s">
        <v>211</v>
      </c>
      <c r="F117" s="30"/>
      <c r="G117" s="30" t="s">
        <v>24</v>
      </c>
      <c r="H117" s="30"/>
      <c r="I117" s="14" t="s">
        <v>38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3"/>
      <c r="C118" s="134"/>
      <c r="D118" s="132"/>
      <c r="E118" s="14" t="s">
        <v>32</v>
      </c>
      <c r="F118" s="30"/>
      <c r="G118" s="30" t="s">
        <v>24</v>
      </c>
      <c r="H118" s="30"/>
      <c r="I118" s="14" t="s">
        <v>145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3"/>
      <c r="C119" s="134"/>
      <c r="D119" s="132"/>
      <c r="E119" s="14" t="s">
        <v>159</v>
      </c>
      <c r="F119" s="30"/>
      <c r="G119" s="30" t="s">
        <v>24</v>
      </c>
      <c r="H119" s="30"/>
      <c r="I119" s="14" t="s">
        <v>54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3"/>
      <c r="C120" s="132"/>
      <c r="D120" s="132"/>
      <c r="E120" s="14" t="s">
        <v>59</v>
      </c>
      <c r="F120" s="30"/>
      <c r="G120" s="30" t="s">
        <v>24</v>
      </c>
      <c r="H120" s="30"/>
      <c r="I120" s="14" t="s">
        <v>162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3"/>
      <c r="C121" s="132"/>
      <c r="D121" s="132"/>
      <c r="E121" s="14" t="s">
        <v>23</v>
      </c>
      <c r="F121" s="30"/>
      <c r="G121" s="30" t="s">
        <v>24</v>
      </c>
      <c r="H121" s="30"/>
      <c r="I121" s="14" t="s">
        <v>188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3"/>
      <c r="C122" s="134"/>
      <c r="D122" s="132"/>
      <c r="E122" s="14" t="s">
        <v>57</v>
      </c>
      <c r="F122" s="30"/>
      <c r="G122" s="30" t="s">
        <v>24</v>
      </c>
      <c r="H122" s="30"/>
      <c r="I122" s="14" t="s">
        <v>211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3"/>
      <c r="C123" s="134"/>
      <c r="D123" s="132"/>
      <c r="E123" s="14" t="s">
        <v>38</v>
      </c>
      <c r="F123" s="30"/>
      <c r="G123" s="30" t="s">
        <v>24</v>
      </c>
      <c r="H123" s="30"/>
      <c r="I123" s="14" t="s">
        <v>32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3"/>
      <c r="C124" s="134"/>
      <c r="D124" s="132"/>
      <c r="E124" s="14" t="s">
        <v>145</v>
      </c>
      <c r="F124" s="30"/>
      <c r="G124" s="30" t="s">
        <v>24</v>
      </c>
      <c r="H124" s="30"/>
      <c r="I124" s="14" t="s">
        <v>159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3"/>
      <c r="C125" s="134"/>
      <c r="D125" s="132"/>
      <c r="E125" s="14" t="s">
        <v>54</v>
      </c>
      <c r="F125" s="30"/>
      <c r="G125" s="30" t="s">
        <v>24</v>
      </c>
      <c r="H125" s="30"/>
      <c r="I125" s="14" t="s">
        <v>59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3"/>
      <c r="C126" s="132"/>
      <c r="D126" s="132"/>
      <c r="E126" s="14" t="s">
        <v>162</v>
      </c>
      <c r="F126" s="30"/>
      <c r="G126" s="30" t="s">
        <v>24</v>
      </c>
      <c r="H126" s="30"/>
      <c r="I126" s="14" t="s">
        <v>23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3"/>
      <c r="C127" s="132"/>
      <c r="D127" s="132"/>
      <c r="E127" s="14">
        <v>0.0</v>
      </c>
      <c r="F127" s="30"/>
      <c r="G127" s="30" t="s">
        <v>24</v>
      </c>
      <c r="H127" s="30"/>
      <c r="I127" s="14" t="s">
        <v>188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3"/>
      <c r="C128" s="134"/>
      <c r="D128" s="132"/>
      <c r="E128" s="14">
        <v>0.0</v>
      </c>
      <c r="F128" s="30"/>
      <c r="G128" s="30" t="s">
        <v>24</v>
      </c>
      <c r="H128" s="30"/>
      <c r="I128" s="14" t="s">
        <v>211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3"/>
      <c r="C129" s="134"/>
      <c r="D129" s="132"/>
      <c r="E129" s="14" t="s">
        <v>32</v>
      </c>
      <c r="F129" s="30"/>
      <c r="G129" s="30" t="s">
        <v>24</v>
      </c>
      <c r="H129" s="30"/>
      <c r="I129" s="14" t="s">
        <v>57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3"/>
      <c r="C130" s="134"/>
      <c r="D130" s="132"/>
      <c r="E130" s="14" t="s">
        <v>159</v>
      </c>
      <c r="F130" s="30"/>
      <c r="G130" s="30" t="s">
        <v>24</v>
      </c>
      <c r="H130" s="30"/>
      <c r="I130" s="14" t="s">
        <v>38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3"/>
      <c r="C131" s="134"/>
      <c r="D131" s="132"/>
      <c r="E131" s="14" t="s">
        <v>59</v>
      </c>
      <c r="F131" s="30"/>
      <c r="G131" s="30" t="s">
        <v>24</v>
      </c>
      <c r="H131" s="30"/>
      <c r="I131" s="14" t="s">
        <v>145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3"/>
      <c r="C132" s="132"/>
      <c r="D132" s="132"/>
      <c r="E132" s="14" t="s">
        <v>23</v>
      </c>
      <c r="F132" s="30"/>
      <c r="G132" s="30" t="s">
        <v>24</v>
      </c>
      <c r="H132" s="30"/>
      <c r="I132" s="14" t="s">
        <v>54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3"/>
      <c r="C133" s="132"/>
      <c r="D133" s="132"/>
      <c r="E133" s="14" t="s">
        <v>188</v>
      </c>
      <c r="F133" s="30"/>
      <c r="G133" s="30" t="s">
        <v>24</v>
      </c>
      <c r="H133" s="30"/>
      <c r="I133" s="14" t="s">
        <v>162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3"/>
      <c r="C134" s="134"/>
      <c r="D134" s="132"/>
      <c r="E134" s="14" t="s">
        <v>211</v>
      </c>
      <c r="F134" s="13"/>
      <c r="G134" s="30" t="s">
        <v>24</v>
      </c>
      <c r="H134" s="13"/>
      <c r="I134" s="14" t="s">
        <v>32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3"/>
      <c r="C135" s="134"/>
      <c r="D135" s="132"/>
      <c r="E135" s="14" t="s">
        <v>57</v>
      </c>
      <c r="F135" s="30"/>
      <c r="G135" s="30" t="s">
        <v>24</v>
      </c>
      <c r="H135" s="30"/>
      <c r="I135" s="14" t="s">
        <v>159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3"/>
      <c r="C136" s="134"/>
      <c r="D136" s="132"/>
      <c r="E136" s="14" t="s">
        <v>38</v>
      </c>
      <c r="F136" s="30"/>
      <c r="G136" s="30" t="s">
        <v>24</v>
      </c>
      <c r="H136" s="30"/>
      <c r="I136" s="14" t="s">
        <v>59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3"/>
      <c r="C137" s="134"/>
      <c r="D137" s="132"/>
      <c r="E137" s="14" t="s">
        <v>145</v>
      </c>
      <c r="F137" s="30"/>
      <c r="G137" s="30" t="s">
        <v>24</v>
      </c>
      <c r="H137" s="30"/>
      <c r="I137" s="14" t="s">
        <v>23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3"/>
      <c r="C138" s="132"/>
      <c r="D138" s="132"/>
      <c r="E138" s="14" t="s">
        <v>54</v>
      </c>
      <c r="F138" s="13"/>
      <c r="G138" s="30" t="s">
        <v>24</v>
      </c>
      <c r="H138" s="13"/>
      <c r="I138" s="14" t="s">
        <v>188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3"/>
      <c r="C139" s="132"/>
      <c r="D139" s="132"/>
      <c r="E139" s="14" t="s">
        <v>162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9"/>
      <c r="B140" s="140"/>
      <c r="C140" s="141"/>
      <c r="D140" s="141"/>
      <c r="E140" s="142"/>
      <c r="F140" s="38"/>
      <c r="G140" s="38"/>
      <c r="H140" s="38"/>
      <c r="I140" s="142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3" t="s">
        <v>213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214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31</v>
      </c>
      <c r="P146" s="121">
        <f t="shared" ref="P146:P156" si="19">SUMIF(E$146:E$211,O146,K$146:K$211)+SUMIF(I$146:I$211,O146,L$146:L$211)</f>
        <v>4</v>
      </c>
      <c r="Q146" s="123">
        <f t="shared" ref="Q146:Q156" si="20">COUNTIFS(E$146:E$211,O146,K$146:K$211,2)+COUNTIFS(I$146:I$211,O146,L$146:L$211,2)+COUNTIFS(E$146:E$211,O146,K$146:K$211,3)+COUNTIFS(I$146:I$211,O146,L$146:L$211,3)</f>
        <v>2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1</v>
      </c>
      <c r="T146" s="121">
        <f t="shared" ref="T146:T156" si="22">SUMIF(E$146:E$211,O146,F$146:F$211)+SUMIF(I$146:I$211,O146,H$146:H$211)</f>
        <v>4</v>
      </c>
      <c r="U146" s="124">
        <f t="shared" ref="U146:U156" si="23">SUMIF(E$146:E$211,O146,H$146:H$211)+SUMIF(I$146:I$211,O146,F$146:F$211)</f>
        <v>4</v>
      </c>
      <c r="V146" s="121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56</v>
      </c>
      <c r="P147" s="121">
        <f t="shared" si="19"/>
        <v>3</v>
      </c>
      <c r="Q147" s="123">
        <f t="shared" si="20"/>
        <v>1</v>
      </c>
      <c r="R147" s="124"/>
      <c r="S147" s="124">
        <f t="shared" si="21"/>
        <v>1</v>
      </c>
      <c r="T147" s="121">
        <f t="shared" si="22"/>
        <v>2</v>
      </c>
      <c r="U147" s="124">
        <f t="shared" si="23"/>
        <v>2</v>
      </c>
      <c r="V147" s="121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115</v>
      </c>
      <c r="AC147" s="22">
        <v>7.0</v>
      </c>
      <c r="AD147" s="22">
        <v>2.0</v>
      </c>
      <c r="AE147" s="23"/>
      <c r="AF147" s="23">
        <v>1.0</v>
      </c>
      <c r="AG147" s="22">
        <v>5.0</v>
      </c>
      <c r="AH147" s="23">
        <v>2.0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9"/>
      <c r="K148" s="120">
        <f t="shared" si="17"/>
        <v>0</v>
      </c>
      <c r="L148" s="121">
        <f t="shared" si="18"/>
        <v>3</v>
      </c>
      <c r="M148" s="119"/>
      <c r="N148" s="121">
        <v>3.0</v>
      </c>
      <c r="O148" s="122" t="s">
        <v>214</v>
      </c>
      <c r="P148" s="121">
        <f t="shared" si="19"/>
        <v>3</v>
      </c>
      <c r="Q148" s="123">
        <f t="shared" si="20"/>
        <v>1</v>
      </c>
      <c r="R148" s="124"/>
      <c r="S148" s="124">
        <f t="shared" si="21"/>
        <v>1</v>
      </c>
      <c r="T148" s="121">
        <f t="shared" si="22"/>
        <v>3</v>
      </c>
      <c r="U148" s="124">
        <f t="shared" si="23"/>
        <v>3</v>
      </c>
      <c r="V148" s="121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60</v>
      </c>
      <c r="AC148" s="22">
        <v>7.0</v>
      </c>
      <c r="AD148" s="22">
        <v>2.0</v>
      </c>
      <c r="AE148" s="23"/>
      <c r="AF148" s="23">
        <v>1.0</v>
      </c>
      <c r="AG148" s="22">
        <v>5.0</v>
      </c>
      <c r="AH148" s="23">
        <v>2.0</v>
      </c>
      <c r="AI148" s="22">
        <v>3.0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9"/>
      <c r="K149" s="120">
        <f t="shared" si="17"/>
        <v>2</v>
      </c>
      <c r="L149" s="121">
        <f t="shared" si="18"/>
        <v>1</v>
      </c>
      <c r="M149" s="119"/>
      <c r="N149" s="121">
        <v>4.0</v>
      </c>
      <c r="O149" s="122" t="s">
        <v>45</v>
      </c>
      <c r="P149" s="121">
        <f t="shared" si="19"/>
        <v>5</v>
      </c>
      <c r="Q149" s="123">
        <f t="shared" si="20"/>
        <v>2</v>
      </c>
      <c r="R149" s="124"/>
      <c r="S149" s="124">
        <f t="shared" si="21"/>
        <v>0</v>
      </c>
      <c r="T149" s="121">
        <f t="shared" si="22"/>
        <v>4</v>
      </c>
      <c r="U149" s="124">
        <f t="shared" si="23"/>
        <v>1</v>
      </c>
      <c r="V149" s="121">
        <f t="shared" si="24"/>
        <v>3</v>
      </c>
      <c r="AA149" s="21">
        <v>4.0</v>
      </c>
      <c r="AB149" s="63" t="s">
        <v>45</v>
      </c>
      <c r="AC149" s="22">
        <v>5.0</v>
      </c>
      <c r="AD149" s="22">
        <v>2.0</v>
      </c>
      <c r="AE149" s="23"/>
      <c r="AF149" s="23">
        <v>0.0</v>
      </c>
      <c r="AG149" s="22">
        <v>4.0</v>
      </c>
      <c r="AH149" s="23">
        <v>1.0</v>
      </c>
      <c r="AI149" s="22">
        <v>3.0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9"/>
      <c r="K150" s="120">
        <f t="shared" si="17"/>
        <v>2</v>
      </c>
      <c r="L150" s="121">
        <f t="shared" si="18"/>
        <v>1</v>
      </c>
      <c r="M150" s="119"/>
      <c r="N150" s="121">
        <v>5.0</v>
      </c>
      <c r="O150" s="122" t="s">
        <v>215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3</v>
      </c>
      <c r="T150" s="121">
        <f t="shared" si="22"/>
        <v>2</v>
      </c>
      <c r="U150" s="124">
        <f t="shared" si="23"/>
        <v>6</v>
      </c>
      <c r="V150" s="121">
        <f t="shared" si="24"/>
        <v>-4</v>
      </c>
      <c r="AA150" s="21">
        <v>5.0</v>
      </c>
      <c r="AB150" s="63" t="s">
        <v>31</v>
      </c>
      <c r="AC150" s="22">
        <v>4.0</v>
      </c>
      <c r="AD150" s="22">
        <v>2.0</v>
      </c>
      <c r="AE150" s="23"/>
      <c r="AF150" s="23">
        <v>1.0</v>
      </c>
      <c r="AG150" s="22">
        <v>4.0</v>
      </c>
      <c r="AH150" s="23">
        <v>4.0</v>
      </c>
      <c r="AI150" s="22">
        <v>0.0</v>
      </c>
      <c r="AJ150" s="17"/>
    </row>
    <row r="151" ht="15.75" customHeight="1">
      <c r="A151" s="28"/>
      <c r="B151" s="133"/>
      <c r="C151" s="134"/>
      <c r="D151" s="132"/>
      <c r="E151" s="14">
        <v>0.0</v>
      </c>
      <c r="F151" s="30"/>
      <c r="G151" s="30" t="s">
        <v>24</v>
      </c>
      <c r="H151" s="30"/>
      <c r="I151" s="14" t="s">
        <v>56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123</v>
      </c>
      <c r="P151" s="121">
        <f t="shared" si="19"/>
        <v>2</v>
      </c>
      <c r="Q151" s="123">
        <f t="shared" si="20"/>
        <v>1</v>
      </c>
      <c r="R151" s="124"/>
      <c r="S151" s="124">
        <f t="shared" si="21"/>
        <v>2</v>
      </c>
      <c r="T151" s="121">
        <f t="shared" si="22"/>
        <v>2</v>
      </c>
      <c r="U151" s="124">
        <f t="shared" si="23"/>
        <v>5</v>
      </c>
      <c r="V151" s="121">
        <f t="shared" si="24"/>
        <v>-3</v>
      </c>
      <c r="AA151" s="21">
        <v>6.0</v>
      </c>
      <c r="AB151" s="63" t="s">
        <v>62</v>
      </c>
      <c r="AC151" s="22">
        <v>4.0</v>
      </c>
      <c r="AD151" s="22">
        <v>1.0</v>
      </c>
      <c r="AE151" s="23"/>
      <c r="AF151" s="23">
        <v>2.0</v>
      </c>
      <c r="AG151" s="22">
        <v>3.0</v>
      </c>
      <c r="AH151" s="23">
        <v>4.0</v>
      </c>
      <c r="AI151" s="22">
        <v>-1.0</v>
      </c>
      <c r="AJ151" s="17"/>
    </row>
    <row r="152" ht="15.75" customHeight="1">
      <c r="A152" s="58">
        <v>2.0</v>
      </c>
      <c r="B152" s="133"/>
      <c r="C152" s="134"/>
      <c r="D152" s="132"/>
      <c r="E152" s="14" t="s">
        <v>214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108</v>
      </c>
      <c r="P152" s="121">
        <f t="shared" si="19"/>
        <v>8</v>
      </c>
      <c r="Q152" s="123">
        <f t="shared" si="20"/>
        <v>3</v>
      </c>
      <c r="R152" s="124"/>
      <c r="S152" s="124">
        <f t="shared" si="21"/>
        <v>0</v>
      </c>
      <c r="T152" s="121">
        <f t="shared" si="22"/>
        <v>6</v>
      </c>
      <c r="U152" s="124">
        <f t="shared" si="23"/>
        <v>1</v>
      </c>
      <c r="V152" s="121">
        <f t="shared" si="24"/>
        <v>5</v>
      </c>
      <c r="AA152" s="21">
        <v>7.0</v>
      </c>
      <c r="AB152" s="63" t="s">
        <v>56</v>
      </c>
      <c r="AC152" s="22">
        <v>3.0</v>
      </c>
      <c r="AD152" s="22">
        <v>1.0</v>
      </c>
      <c r="AE152" s="23"/>
      <c r="AF152" s="23">
        <v>1.0</v>
      </c>
      <c r="AG152" s="22">
        <v>2.0</v>
      </c>
      <c r="AH152" s="23">
        <v>2.0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215</v>
      </c>
      <c r="F153" s="13">
        <v>1.0</v>
      </c>
      <c r="G153" s="30" t="s">
        <v>24</v>
      </c>
      <c r="H153" s="13">
        <v>2.0</v>
      </c>
      <c r="I153" s="14" t="s">
        <v>31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64</v>
      </c>
      <c r="P153" s="121">
        <f t="shared" si="19"/>
        <v>0</v>
      </c>
      <c r="Q153" s="123">
        <f t="shared" si="20"/>
        <v>0</v>
      </c>
      <c r="R153" s="124"/>
      <c r="S153" s="124">
        <f t="shared" si="21"/>
        <v>3</v>
      </c>
      <c r="T153" s="121">
        <f t="shared" si="22"/>
        <v>0</v>
      </c>
      <c r="U153" s="124">
        <f t="shared" si="23"/>
        <v>6</v>
      </c>
      <c r="V153" s="121">
        <f t="shared" si="24"/>
        <v>-6</v>
      </c>
      <c r="AA153" s="21">
        <v>8.0</v>
      </c>
      <c r="AB153" s="63" t="s">
        <v>214</v>
      </c>
      <c r="AC153" s="22">
        <v>3.0</v>
      </c>
      <c r="AD153" s="22">
        <v>1.0</v>
      </c>
      <c r="AE153" s="23"/>
      <c r="AF153" s="23">
        <v>1.0</v>
      </c>
      <c r="AG153" s="22">
        <v>3.0</v>
      </c>
      <c r="AH153" s="23">
        <v>3.0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9"/>
      <c r="K154" s="120">
        <f t="shared" si="17"/>
        <v>2</v>
      </c>
      <c r="L154" s="121">
        <f t="shared" si="18"/>
        <v>1</v>
      </c>
      <c r="M154" s="119"/>
      <c r="N154" s="121">
        <v>9.0</v>
      </c>
      <c r="O154" s="122" t="s">
        <v>62</v>
      </c>
      <c r="P154" s="121">
        <f t="shared" si="19"/>
        <v>4</v>
      </c>
      <c r="Q154" s="123">
        <f t="shared" si="20"/>
        <v>1</v>
      </c>
      <c r="R154" s="124"/>
      <c r="S154" s="124">
        <f t="shared" si="21"/>
        <v>2</v>
      </c>
      <c r="T154" s="121">
        <f t="shared" si="22"/>
        <v>3</v>
      </c>
      <c r="U154" s="124">
        <f t="shared" si="23"/>
        <v>4</v>
      </c>
      <c r="V154" s="121">
        <f t="shared" si="24"/>
        <v>-1</v>
      </c>
      <c r="AA154" s="21">
        <v>9.0</v>
      </c>
      <c r="AB154" s="63" t="s">
        <v>123</v>
      </c>
      <c r="AC154" s="22">
        <v>2.0</v>
      </c>
      <c r="AD154" s="22">
        <v>1.0</v>
      </c>
      <c r="AE154" s="23"/>
      <c r="AF154" s="23">
        <v>2.0</v>
      </c>
      <c r="AG154" s="22">
        <v>2.0</v>
      </c>
      <c r="AH154" s="23">
        <v>5.0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9"/>
      <c r="K155" s="120">
        <f t="shared" si="17"/>
        <v>3</v>
      </c>
      <c r="L155" s="121">
        <f t="shared" si="18"/>
        <v>0</v>
      </c>
      <c r="M155" s="119"/>
      <c r="N155" s="121">
        <v>10.0</v>
      </c>
      <c r="O155" s="122" t="s">
        <v>115</v>
      </c>
      <c r="P155" s="121">
        <f t="shared" si="19"/>
        <v>7</v>
      </c>
      <c r="Q155" s="123">
        <f t="shared" si="20"/>
        <v>2</v>
      </c>
      <c r="R155" s="124"/>
      <c r="S155" s="124">
        <f t="shared" si="21"/>
        <v>1</v>
      </c>
      <c r="T155" s="121">
        <f t="shared" si="22"/>
        <v>5</v>
      </c>
      <c r="U155" s="124">
        <f t="shared" si="23"/>
        <v>2</v>
      </c>
      <c r="V155" s="121">
        <f t="shared" si="24"/>
        <v>3</v>
      </c>
      <c r="AA155" s="21">
        <v>10.0</v>
      </c>
      <c r="AB155" s="63" t="s">
        <v>215</v>
      </c>
      <c r="AC155" s="22">
        <v>2.0</v>
      </c>
      <c r="AD155" s="22">
        <v>0.0</v>
      </c>
      <c r="AE155" s="23"/>
      <c r="AF155" s="23">
        <v>3.0</v>
      </c>
      <c r="AG155" s="22">
        <v>2.0</v>
      </c>
      <c r="AH155" s="23">
        <v>6.0</v>
      </c>
      <c r="AI155" s="22">
        <v>-4.0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19"/>
      <c r="K156" s="120">
        <f t="shared" si="17"/>
        <v>3</v>
      </c>
      <c r="L156" s="121">
        <f t="shared" si="18"/>
        <v>0</v>
      </c>
      <c r="M156" s="119"/>
      <c r="N156" s="138">
        <v>11.0</v>
      </c>
      <c r="O156" s="138" t="s">
        <v>60</v>
      </c>
      <c r="P156" s="121">
        <f t="shared" si="19"/>
        <v>7</v>
      </c>
      <c r="Q156" s="123">
        <f t="shared" si="20"/>
        <v>2</v>
      </c>
      <c r="S156" s="124">
        <f t="shared" si="21"/>
        <v>1</v>
      </c>
      <c r="T156" s="121">
        <f t="shared" si="22"/>
        <v>5</v>
      </c>
      <c r="U156" s="124">
        <f t="shared" si="23"/>
        <v>2</v>
      </c>
      <c r="V156" s="121">
        <f t="shared" si="24"/>
        <v>3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3.0</v>
      </c>
      <c r="AG156" s="22">
        <v>0.0</v>
      </c>
      <c r="AH156" s="23">
        <v>6.0</v>
      </c>
      <c r="AI156" s="22">
        <v>-6.0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9"/>
      <c r="K157" s="120">
        <f t="shared" si="17"/>
        <v>0</v>
      </c>
      <c r="L157" s="121">
        <f t="shared" si="18"/>
        <v>3</v>
      </c>
      <c r="M157" s="119"/>
      <c r="AA157" s="34" t="s">
        <v>216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214</v>
      </c>
      <c r="F158" s="13">
        <v>2.0</v>
      </c>
      <c r="G158" s="30" t="s">
        <v>24</v>
      </c>
      <c r="H158" s="13">
        <v>1.0</v>
      </c>
      <c r="I158" s="14" t="s">
        <v>215</v>
      </c>
      <c r="J158" s="119"/>
      <c r="K158" s="120">
        <f t="shared" si="17"/>
        <v>2</v>
      </c>
      <c r="L158" s="121">
        <f t="shared" si="18"/>
        <v>1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9"/>
      <c r="K159" s="120">
        <f t="shared" si="17"/>
        <v>0</v>
      </c>
      <c r="L159" s="121">
        <f t="shared" si="18"/>
        <v>3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199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142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  <c r="AJ162" s="3"/>
    </row>
    <row r="163" ht="15.75" customHeight="1">
      <c r="A163" s="28"/>
      <c r="B163" s="133"/>
      <c r="C163" s="132"/>
      <c r="D163" s="132"/>
      <c r="E163" s="14">
        <v>0.0</v>
      </c>
      <c r="F163" s="30"/>
      <c r="G163" s="30" t="s">
        <v>24</v>
      </c>
      <c r="H163" s="30"/>
      <c r="I163" s="14" t="s">
        <v>45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  <c r="AJ163" s="3"/>
    </row>
    <row r="164" ht="15.75" customHeight="1">
      <c r="A164" s="115">
        <v>4.0</v>
      </c>
      <c r="B164" s="133"/>
      <c r="C164" s="132"/>
      <c r="D164" s="132"/>
      <c r="E164" s="14" t="s">
        <v>215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  <c r="AJ164" s="3"/>
    </row>
    <row r="165" ht="15.75" customHeight="1">
      <c r="A165" s="24"/>
      <c r="B165" s="133"/>
      <c r="C165" s="132"/>
      <c r="D165" s="132"/>
      <c r="E165" s="14" t="s">
        <v>108</v>
      </c>
      <c r="F165" s="30"/>
      <c r="G165" s="30" t="s">
        <v>24</v>
      </c>
      <c r="H165" s="30"/>
      <c r="I165" s="14" t="s">
        <v>214</v>
      </c>
      <c r="J165" s="119"/>
      <c r="K165" s="120" t="str">
        <f t="shared" si="17"/>
        <v/>
      </c>
      <c r="L165" s="121" t="str">
        <f t="shared" si="18"/>
        <v/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  <c r="AJ165" s="3"/>
    </row>
    <row r="166" ht="15.75" customHeight="1">
      <c r="A166" s="24"/>
      <c r="B166" s="133"/>
      <c r="C166" s="132"/>
      <c r="D166" s="132"/>
      <c r="E166" s="14" t="s">
        <v>62</v>
      </c>
      <c r="F166" s="30"/>
      <c r="G166" s="30" t="s">
        <v>24</v>
      </c>
      <c r="H166" s="30"/>
      <c r="I166" s="14" t="s">
        <v>31</v>
      </c>
      <c r="J166" s="119"/>
      <c r="K166" s="120" t="str">
        <f t="shared" si="17"/>
        <v/>
      </c>
      <c r="L166" s="121" t="str">
        <f t="shared" si="18"/>
        <v/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33"/>
      <c r="C167" s="132"/>
      <c r="D167" s="132"/>
      <c r="E167" s="14" t="s">
        <v>60</v>
      </c>
      <c r="F167" s="30"/>
      <c r="G167" s="30" t="s">
        <v>24</v>
      </c>
      <c r="H167" s="30"/>
      <c r="I167" s="14" t="s">
        <v>115</v>
      </c>
      <c r="J167" s="119"/>
      <c r="K167" s="120" t="str">
        <f t="shared" si="17"/>
        <v/>
      </c>
      <c r="L167" s="121" t="str">
        <f t="shared" si="18"/>
        <v/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33"/>
      <c r="C168" s="132"/>
      <c r="D168" s="132"/>
      <c r="E168" s="14" t="s">
        <v>56</v>
      </c>
      <c r="F168" s="30"/>
      <c r="G168" s="30" t="s">
        <v>24</v>
      </c>
      <c r="H168" s="30"/>
      <c r="I168" s="14" t="s">
        <v>64</v>
      </c>
      <c r="J168" s="119"/>
      <c r="K168" s="120" t="str">
        <f t="shared" si="17"/>
        <v/>
      </c>
      <c r="L168" s="121" t="str">
        <f t="shared" si="18"/>
        <v/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33"/>
      <c r="C169" s="132"/>
      <c r="D169" s="132"/>
      <c r="E169" s="14" t="s">
        <v>45</v>
      </c>
      <c r="F169" s="30"/>
      <c r="G169" s="30" t="s">
        <v>24</v>
      </c>
      <c r="H169" s="30"/>
      <c r="I169" s="14" t="s">
        <v>123</v>
      </c>
      <c r="J169" s="119"/>
      <c r="K169" s="120" t="str">
        <f t="shared" si="17"/>
        <v/>
      </c>
      <c r="L169" s="121" t="str">
        <f t="shared" si="18"/>
        <v/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33"/>
      <c r="C170" s="132"/>
      <c r="D170" s="132"/>
      <c r="E170" s="14" t="s">
        <v>215</v>
      </c>
      <c r="F170" s="30"/>
      <c r="G170" s="30" t="s">
        <v>24</v>
      </c>
      <c r="H170" s="30"/>
      <c r="I170" s="14" t="s">
        <v>108</v>
      </c>
      <c r="J170" s="119"/>
      <c r="K170" s="120" t="str">
        <f t="shared" si="17"/>
        <v/>
      </c>
      <c r="L170" s="121" t="str">
        <f t="shared" si="18"/>
        <v/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33"/>
      <c r="C171" s="132"/>
      <c r="D171" s="132"/>
      <c r="E171" s="14" t="s">
        <v>214</v>
      </c>
      <c r="F171" s="132"/>
      <c r="G171" s="30" t="s">
        <v>24</v>
      </c>
      <c r="H171" s="30"/>
      <c r="I171" s="14" t="s">
        <v>62</v>
      </c>
      <c r="J171" s="119"/>
      <c r="K171" s="120" t="str">
        <f t="shared" si="17"/>
        <v/>
      </c>
      <c r="L171" s="121" t="str">
        <f t="shared" si="18"/>
        <v/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33"/>
      <c r="C172" s="132"/>
      <c r="D172" s="132"/>
      <c r="E172" s="14" t="s">
        <v>31</v>
      </c>
      <c r="F172" s="132"/>
      <c r="G172" s="30" t="s">
        <v>24</v>
      </c>
      <c r="H172" s="30"/>
      <c r="I172" s="14" t="s">
        <v>60</v>
      </c>
      <c r="J172" s="119"/>
      <c r="K172" s="120" t="str">
        <f t="shared" si="17"/>
        <v/>
      </c>
      <c r="L172" s="121" t="str">
        <f t="shared" si="18"/>
        <v/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33"/>
      <c r="C173" s="132"/>
      <c r="D173" s="132"/>
      <c r="E173" s="14" t="s">
        <v>115</v>
      </c>
      <c r="F173" s="132"/>
      <c r="G173" s="30" t="s">
        <v>24</v>
      </c>
      <c r="H173" s="30"/>
      <c r="I173" s="14" t="s">
        <v>56</v>
      </c>
      <c r="J173" s="119"/>
      <c r="K173" s="120" t="str">
        <f t="shared" si="17"/>
        <v/>
      </c>
      <c r="L173" s="121" t="str">
        <f t="shared" si="18"/>
        <v/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33"/>
      <c r="C174" s="132"/>
      <c r="D174" s="132"/>
      <c r="E174" s="14" t="s">
        <v>64</v>
      </c>
      <c r="F174" s="132"/>
      <c r="G174" s="30" t="s">
        <v>24</v>
      </c>
      <c r="H174" s="30"/>
      <c r="I174" s="14" t="s">
        <v>45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3"/>
      <c r="C175" s="132"/>
      <c r="D175" s="132"/>
      <c r="E175" s="14">
        <v>0.0</v>
      </c>
      <c r="F175" s="132"/>
      <c r="G175" s="30" t="s">
        <v>24</v>
      </c>
      <c r="H175" s="30"/>
      <c r="I175" s="14" t="s">
        <v>123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3"/>
      <c r="C176" s="134"/>
      <c r="D176" s="132"/>
      <c r="E176" s="14" t="s">
        <v>108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3"/>
      <c r="C177" s="132"/>
      <c r="D177" s="132"/>
      <c r="E177" s="14" t="s">
        <v>62</v>
      </c>
      <c r="F177" s="30"/>
      <c r="G177" s="30" t="s">
        <v>24</v>
      </c>
      <c r="H177" s="30"/>
      <c r="I177" s="14" t="s">
        <v>215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3"/>
      <c r="C178" s="132"/>
      <c r="D178" s="132"/>
      <c r="E178" s="14" t="s">
        <v>60</v>
      </c>
      <c r="F178" s="30"/>
      <c r="G178" s="30" t="s">
        <v>24</v>
      </c>
      <c r="H178" s="30"/>
      <c r="I178" s="14" t="s">
        <v>214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3"/>
      <c r="C179" s="134"/>
      <c r="D179" s="132"/>
      <c r="E179" s="14" t="s">
        <v>56</v>
      </c>
      <c r="F179" s="30"/>
      <c r="G179" s="30" t="s">
        <v>24</v>
      </c>
      <c r="H179" s="30"/>
      <c r="I179" s="14" t="s">
        <v>31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3"/>
      <c r="C180" s="132"/>
      <c r="D180" s="132"/>
      <c r="E180" s="14" t="s">
        <v>45</v>
      </c>
      <c r="F180" s="30"/>
      <c r="G180" s="30" t="s">
        <v>24</v>
      </c>
      <c r="H180" s="30"/>
      <c r="I180" s="14" t="s">
        <v>115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3"/>
      <c r="C181" s="132"/>
      <c r="D181" s="132"/>
      <c r="E181" s="14" t="s">
        <v>123</v>
      </c>
      <c r="F181" s="30"/>
      <c r="G181" s="30" t="s">
        <v>24</v>
      </c>
      <c r="H181" s="30"/>
      <c r="I181" s="14" t="s">
        <v>64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3"/>
      <c r="C182" s="134"/>
      <c r="D182" s="132"/>
      <c r="E182" s="14" t="s">
        <v>108</v>
      </c>
      <c r="F182" s="30"/>
      <c r="G182" s="30" t="s">
        <v>24</v>
      </c>
      <c r="H182" s="30"/>
      <c r="I182" s="14" t="s">
        <v>62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3"/>
      <c r="C183" s="134"/>
      <c r="D183" s="132"/>
      <c r="E183" s="14" t="s">
        <v>215</v>
      </c>
      <c r="F183" s="30"/>
      <c r="G183" s="30" t="s">
        <v>24</v>
      </c>
      <c r="H183" s="30"/>
      <c r="I183" s="14" t="s">
        <v>60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3"/>
      <c r="C184" s="134"/>
      <c r="D184" s="132"/>
      <c r="E184" s="14" t="s">
        <v>214</v>
      </c>
      <c r="F184" s="30"/>
      <c r="G184" s="30" t="s">
        <v>24</v>
      </c>
      <c r="H184" s="30"/>
      <c r="I184" s="14" t="s">
        <v>56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3"/>
      <c r="C185" s="134"/>
      <c r="D185" s="132"/>
      <c r="E185" s="14" t="s">
        <v>31</v>
      </c>
      <c r="F185" s="30"/>
      <c r="G185" s="30" t="s">
        <v>24</v>
      </c>
      <c r="H185" s="30"/>
      <c r="I185" s="14" t="s">
        <v>45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3"/>
      <c r="C186" s="132"/>
      <c r="D186" s="132"/>
      <c r="E186" s="14" t="s">
        <v>115</v>
      </c>
      <c r="F186" s="30"/>
      <c r="G186" s="30" t="s">
        <v>24</v>
      </c>
      <c r="H186" s="30"/>
      <c r="I186" s="14" t="s">
        <v>123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3"/>
      <c r="C187" s="132"/>
      <c r="D187" s="132"/>
      <c r="E187" s="14">
        <v>0.0</v>
      </c>
      <c r="F187" s="30"/>
      <c r="G187" s="30" t="s">
        <v>24</v>
      </c>
      <c r="H187" s="30"/>
      <c r="I187" s="14" t="s">
        <v>64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3"/>
      <c r="C188" s="134"/>
      <c r="D188" s="132"/>
      <c r="E188" s="14" t="s">
        <v>62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3"/>
      <c r="C189" s="134"/>
      <c r="D189" s="132"/>
      <c r="E189" s="14" t="s">
        <v>60</v>
      </c>
      <c r="F189" s="30"/>
      <c r="G189" s="30" t="s">
        <v>24</v>
      </c>
      <c r="H189" s="30"/>
      <c r="I189" s="14" t="s">
        <v>108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3"/>
      <c r="C190" s="134"/>
      <c r="D190" s="132"/>
      <c r="E190" s="14" t="s">
        <v>56</v>
      </c>
      <c r="F190" s="30"/>
      <c r="G190" s="30" t="s">
        <v>24</v>
      </c>
      <c r="H190" s="30"/>
      <c r="I190" s="14" t="s">
        <v>215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3"/>
      <c r="C191" s="134"/>
      <c r="D191" s="132"/>
      <c r="E191" s="14" t="s">
        <v>45</v>
      </c>
      <c r="F191" s="30"/>
      <c r="G191" s="30" t="s">
        <v>24</v>
      </c>
      <c r="H191" s="30"/>
      <c r="I191" s="14" t="s">
        <v>214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3"/>
      <c r="C192" s="132"/>
      <c r="D192" s="132"/>
      <c r="E192" s="14" t="s">
        <v>123</v>
      </c>
      <c r="F192" s="30"/>
      <c r="G192" s="30" t="s">
        <v>24</v>
      </c>
      <c r="H192" s="30"/>
      <c r="I192" s="14" t="s">
        <v>31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3"/>
      <c r="C193" s="132"/>
      <c r="D193" s="132"/>
      <c r="E193" s="14" t="s">
        <v>64</v>
      </c>
      <c r="F193" s="30"/>
      <c r="G193" s="30" t="s">
        <v>24</v>
      </c>
      <c r="H193" s="30"/>
      <c r="I193" s="14" t="s">
        <v>115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3"/>
      <c r="C194" s="134"/>
      <c r="D194" s="132"/>
      <c r="E194" s="14" t="s">
        <v>62</v>
      </c>
      <c r="F194" s="30"/>
      <c r="G194" s="30" t="s">
        <v>24</v>
      </c>
      <c r="H194" s="30"/>
      <c r="I194" s="14" t="s">
        <v>60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3"/>
      <c r="C195" s="134"/>
      <c r="D195" s="132"/>
      <c r="E195" s="14" t="s">
        <v>108</v>
      </c>
      <c r="F195" s="30"/>
      <c r="G195" s="30" t="s">
        <v>24</v>
      </c>
      <c r="H195" s="30"/>
      <c r="I195" s="14" t="s">
        <v>56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3"/>
      <c r="C196" s="134"/>
      <c r="D196" s="132"/>
      <c r="E196" s="14" t="s">
        <v>215</v>
      </c>
      <c r="F196" s="30"/>
      <c r="G196" s="30" t="s">
        <v>24</v>
      </c>
      <c r="H196" s="30"/>
      <c r="I196" s="14" t="s">
        <v>45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3"/>
      <c r="C197" s="134"/>
      <c r="D197" s="132"/>
      <c r="E197" s="14" t="s">
        <v>214</v>
      </c>
      <c r="F197" s="30"/>
      <c r="G197" s="30" t="s">
        <v>24</v>
      </c>
      <c r="H197" s="30"/>
      <c r="I197" s="14" t="s">
        <v>123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3"/>
      <c r="C198" s="132"/>
      <c r="D198" s="132"/>
      <c r="E198" s="14" t="s">
        <v>31</v>
      </c>
      <c r="F198" s="30"/>
      <c r="G198" s="30" t="s">
        <v>24</v>
      </c>
      <c r="H198" s="30"/>
      <c r="I198" s="14" t="s">
        <v>64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3"/>
      <c r="C199" s="132"/>
      <c r="D199" s="132"/>
      <c r="E199" s="14">
        <v>0.0</v>
      </c>
      <c r="F199" s="30"/>
      <c r="G199" s="30" t="s">
        <v>24</v>
      </c>
      <c r="H199" s="30"/>
      <c r="I199" s="14" t="s">
        <v>115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3"/>
      <c r="C200" s="134"/>
      <c r="D200" s="132"/>
      <c r="E200" s="14">
        <v>0.0</v>
      </c>
      <c r="F200" s="30"/>
      <c r="G200" s="30" t="s">
        <v>24</v>
      </c>
      <c r="H200" s="30"/>
      <c r="I200" s="14" t="s">
        <v>60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3"/>
      <c r="C201" s="134"/>
      <c r="D201" s="132"/>
      <c r="E201" s="14" t="s">
        <v>56</v>
      </c>
      <c r="F201" s="30"/>
      <c r="G201" s="30" t="s">
        <v>24</v>
      </c>
      <c r="H201" s="30"/>
      <c r="I201" s="14" t="s">
        <v>62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3"/>
      <c r="C202" s="134"/>
      <c r="D202" s="132"/>
      <c r="E202" s="14" t="s">
        <v>45</v>
      </c>
      <c r="F202" s="30"/>
      <c r="G202" s="30" t="s">
        <v>24</v>
      </c>
      <c r="H202" s="30"/>
      <c r="I202" s="14" t="s">
        <v>108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3"/>
      <c r="C203" s="134"/>
      <c r="D203" s="132"/>
      <c r="E203" s="14" t="s">
        <v>123</v>
      </c>
      <c r="F203" s="30"/>
      <c r="G203" s="30" t="s">
        <v>24</v>
      </c>
      <c r="H203" s="30"/>
      <c r="I203" s="14" t="s">
        <v>215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3"/>
      <c r="C204" s="132"/>
      <c r="D204" s="132"/>
      <c r="E204" s="14" t="s">
        <v>64</v>
      </c>
      <c r="F204" s="30"/>
      <c r="G204" s="30" t="s">
        <v>24</v>
      </c>
      <c r="H204" s="30"/>
      <c r="I204" s="14" t="s">
        <v>214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3"/>
      <c r="C205" s="132"/>
      <c r="D205" s="132"/>
      <c r="E205" s="14" t="s">
        <v>115</v>
      </c>
      <c r="F205" s="30"/>
      <c r="G205" s="30" t="s">
        <v>24</v>
      </c>
      <c r="H205" s="30"/>
      <c r="I205" s="14" t="s">
        <v>31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3"/>
      <c r="C206" s="134"/>
      <c r="D206" s="132"/>
      <c r="E206" s="14" t="s">
        <v>60</v>
      </c>
      <c r="F206" s="13"/>
      <c r="G206" s="30" t="s">
        <v>24</v>
      </c>
      <c r="H206" s="13"/>
      <c r="I206" s="14" t="s">
        <v>56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3"/>
      <c r="C207" s="134"/>
      <c r="D207" s="132"/>
      <c r="E207" s="14" t="s">
        <v>62</v>
      </c>
      <c r="F207" s="30"/>
      <c r="G207" s="30" t="s">
        <v>24</v>
      </c>
      <c r="H207" s="30"/>
      <c r="I207" s="14" t="s">
        <v>45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3"/>
      <c r="C208" s="134"/>
      <c r="D208" s="132"/>
      <c r="E208" s="14" t="s">
        <v>108</v>
      </c>
      <c r="F208" s="30"/>
      <c r="G208" s="30" t="s">
        <v>24</v>
      </c>
      <c r="H208" s="30"/>
      <c r="I208" s="14" t="s">
        <v>123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3"/>
      <c r="C209" s="134"/>
      <c r="D209" s="132"/>
      <c r="E209" s="14" t="s">
        <v>215</v>
      </c>
      <c r="F209" s="30"/>
      <c r="G209" s="30" t="s">
        <v>24</v>
      </c>
      <c r="H209" s="30"/>
      <c r="I209" s="14" t="s">
        <v>64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3"/>
      <c r="C210" s="132"/>
      <c r="D210" s="132"/>
      <c r="E210" s="14" t="s">
        <v>214</v>
      </c>
      <c r="F210" s="13"/>
      <c r="G210" s="30" t="s">
        <v>24</v>
      </c>
      <c r="H210" s="13"/>
      <c r="I210" s="14" t="s">
        <v>115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3"/>
      <c r="C211" s="132"/>
      <c r="D211" s="132"/>
      <c r="E211" s="14" t="s">
        <v>31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4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4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4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4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217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5" t="s">
        <v>195</v>
      </c>
      <c r="U217" s="145" t="s">
        <v>196</v>
      </c>
      <c r="V217" s="145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6" t="s">
        <v>195</v>
      </c>
      <c r="AH217" s="146" t="s">
        <v>196</v>
      </c>
      <c r="AI217" s="146" t="s">
        <v>197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218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4"/>
      <c r="E235" s="118"/>
      <c r="I235" s="118"/>
      <c r="AA235" s="3"/>
      <c r="AB235" s="11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4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4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4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4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4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4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4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4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4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4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4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4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4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4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4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4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4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4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4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4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4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4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4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4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4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4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4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4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4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4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4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4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4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4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4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4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4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4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4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4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4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4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4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4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4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4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4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4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4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4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4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4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4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4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4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4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4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4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4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4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4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4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4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4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4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4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4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4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4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4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4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4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4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4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4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4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4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4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4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4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4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4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4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4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4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4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4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4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4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4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4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4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4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4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4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4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4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4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4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4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4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4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4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4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4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4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4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4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7" t="s">
        <v>219</v>
      </c>
      <c r="B1" s="148" t="s">
        <v>220</v>
      </c>
      <c r="C1" s="148" t="s">
        <v>221</v>
      </c>
      <c r="D1" s="148" t="s">
        <v>222</v>
      </c>
      <c r="E1" s="148" t="s">
        <v>223</v>
      </c>
      <c r="F1" s="148" t="s">
        <v>224</v>
      </c>
      <c r="G1" s="148" t="s">
        <v>225</v>
      </c>
      <c r="H1" s="148" t="s">
        <v>226</v>
      </c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</row>
    <row r="2" ht="15.75" customHeight="1">
      <c r="A2" s="150" t="s">
        <v>227</v>
      </c>
      <c r="B2" s="151" t="s">
        <v>228</v>
      </c>
      <c r="C2" s="152" t="s">
        <v>31</v>
      </c>
      <c r="D2" s="152" t="s">
        <v>229</v>
      </c>
      <c r="E2" s="153">
        <v>108125.0</v>
      </c>
      <c r="F2" s="154" t="s">
        <v>230</v>
      </c>
      <c r="G2" s="151" t="s">
        <v>231</v>
      </c>
      <c r="H2" s="152" t="s">
        <v>232</v>
      </c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</row>
    <row r="3" ht="15.75" customHeight="1">
      <c r="A3" s="150" t="s">
        <v>227</v>
      </c>
      <c r="B3" s="151" t="s">
        <v>233</v>
      </c>
      <c r="C3" s="151" t="s">
        <v>32</v>
      </c>
      <c r="D3" s="151" t="s">
        <v>234</v>
      </c>
      <c r="E3" s="155">
        <v>89159.0</v>
      </c>
      <c r="F3" s="156" t="s">
        <v>235</v>
      </c>
      <c r="G3" s="151" t="s">
        <v>231</v>
      </c>
      <c r="H3" s="151" t="s">
        <v>236</v>
      </c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</row>
    <row r="4" ht="15.75" customHeight="1">
      <c r="A4" s="150" t="s">
        <v>227</v>
      </c>
      <c r="B4" s="151" t="s">
        <v>237</v>
      </c>
      <c r="C4" s="151" t="s">
        <v>108</v>
      </c>
      <c r="D4" s="151" t="s">
        <v>238</v>
      </c>
      <c r="E4" s="155">
        <v>100096.0</v>
      </c>
      <c r="F4" s="156" t="s">
        <v>239</v>
      </c>
      <c r="G4" s="151" t="s">
        <v>231</v>
      </c>
      <c r="H4" s="151" t="s">
        <v>240</v>
      </c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  <c r="Y4" s="149"/>
      <c r="Z4" s="149"/>
    </row>
    <row r="5" ht="15.75" customHeight="1">
      <c r="A5" s="150" t="s">
        <v>227</v>
      </c>
      <c r="B5" s="151" t="s">
        <v>241</v>
      </c>
      <c r="C5" s="151" t="s">
        <v>55</v>
      </c>
      <c r="D5" s="151" t="s">
        <v>242</v>
      </c>
      <c r="E5" s="155">
        <v>108498.0</v>
      </c>
      <c r="F5" s="156" t="s">
        <v>243</v>
      </c>
      <c r="G5" s="151" t="s">
        <v>231</v>
      </c>
      <c r="H5" s="151" t="s">
        <v>244</v>
      </c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</row>
    <row r="6" ht="15.75" customHeight="1">
      <c r="A6" s="150" t="s">
        <v>227</v>
      </c>
      <c r="B6" s="151" t="s">
        <v>245</v>
      </c>
      <c r="C6" s="151" t="s">
        <v>63</v>
      </c>
      <c r="D6" s="151" t="s">
        <v>246</v>
      </c>
      <c r="E6" s="155">
        <v>110713.0</v>
      </c>
      <c r="F6" s="156" t="s">
        <v>239</v>
      </c>
      <c r="G6" s="151" t="s">
        <v>231</v>
      </c>
      <c r="H6" s="151" t="s">
        <v>247</v>
      </c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/>
      <c r="Y6" s="149"/>
      <c r="Z6" s="149"/>
    </row>
    <row r="7" ht="15.75" customHeight="1">
      <c r="A7" s="150" t="s">
        <v>227</v>
      </c>
      <c r="B7" s="151" t="s">
        <v>248</v>
      </c>
      <c r="C7" s="151" t="s">
        <v>59</v>
      </c>
      <c r="D7" s="151" t="s">
        <v>249</v>
      </c>
      <c r="E7" s="155">
        <v>108196.0</v>
      </c>
      <c r="F7" s="156" t="s">
        <v>243</v>
      </c>
      <c r="G7" s="151" t="s">
        <v>231</v>
      </c>
      <c r="H7" s="151" t="s">
        <v>244</v>
      </c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ht="15.75" customHeight="1">
      <c r="A8" s="150" t="s">
        <v>250</v>
      </c>
      <c r="B8" s="151" t="s">
        <v>251</v>
      </c>
      <c r="C8" s="151" t="s">
        <v>144</v>
      </c>
      <c r="D8" s="151" t="s">
        <v>252</v>
      </c>
      <c r="E8" s="155">
        <v>103269.0</v>
      </c>
      <c r="F8" s="156" t="s">
        <v>243</v>
      </c>
      <c r="G8" s="151" t="s">
        <v>231</v>
      </c>
      <c r="H8" s="151" t="s">
        <v>244</v>
      </c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ht="15.75" customHeight="1">
      <c r="A9" s="150" t="s">
        <v>227</v>
      </c>
      <c r="B9" s="151" t="s">
        <v>253</v>
      </c>
      <c r="C9" s="151" t="s">
        <v>41</v>
      </c>
      <c r="D9" s="151" t="s">
        <v>254</v>
      </c>
      <c r="E9" s="155">
        <v>109271.0</v>
      </c>
      <c r="F9" s="156" t="s">
        <v>243</v>
      </c>
      <c r="G9" s="151" t="s">
        <v>255</v>
      </c>
      <c r="H9" s="151" t="s">
        <v>256</v>
      </c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ht="15.75" customHeight="1">
      <c r="A10" s="150" t="s">
        <v>227</v>
      </c>
      <c r="B10" s="151" t="s">
        <v>257</v>
      </c>
      <c r="C10" s="151" t="s">
        <v>121</v>
      </c>
      <c r="D10" s="151" t="s">
        <v>258</v>
      </c>
      <c r="E10" s="155">
        <v>108249.0</v>
      </c>
      <c r="F10" s="156" t="s">
        <v>243</v>
      </c>
      <c r="G10" s="151" t="s">
        <v>255</v>
      </c>
      <c r="H10" s="151" t="s">
        <v>256</v>
      </c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ht="15.75" customHeight="1">
      <c r="A11" s="150" t="s">
        <v>227</v>
      </c>
      <c r="B11" s="151" t="s">
        <v>259</v>
      </c>
      <c r="C11" s="151" t="s">
        <v>40</v>
      </c>
      <c r="D11" s="151" t="s">
        <v>260</v>
      </c>
      <c r="E11" s="155">
        <v>103583.0</v>
      </c>
      <c r="F11" s="156" t="s">
        <v>243</v>
      </c>
      <c r="G11" s="151" t="s">
        <v>255</v>
      </c>
      <c r="H11" s="151" t="s">
        <v>261</v>
      </c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15.75" customHeight="1">
      <c r="A12" s="150" t="s">
        <v>227</v>
      </c>
      <c r="B12" s="151" t="s">
        <v>259</v>
      </c>
      <c r="C12" s="151" t="s">
        <v>40</v>
      </c>
      <c r="D12" s="151" t="s">
        <v>262</v>
      </c>
      <c r="E12" s="155">
        <v>93245.0</v>
      </c>
      <c r="F12" s="157" t="s">
        <v>263</v>
      </c>
      <c r="G12" s="158">
        <v>44870.0</v>
      </c>
      <c r="H12" s="15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/>
      <c r="Y12" s="149"/>
      <c r="Z12" s="14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